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2.工作资料(同步)\3.教学\4.工程应用编程\6.考试\大作业\"/>
    </mc:Choice>
  </mc:AlternateContent>
  <xr:revisionPtr revIDLastSave="0" documentId="8_{8E72E00D-0CFF-41C1-A8BC-B917A4D1AC15}" xr6:coauthVersionLast="47" xr6:coauthVersionMax="47" xr10:uidLastSave="{00000000-0000-0000-0000-000000000000}"/>
  <bookViews>
    <workbookView xWindow="-96" yWindow="-96" windowWidth="23232" windowHeight="12552" xr2:uid="{00000000-000D-0000-FFFF-FFFF00000000}"/>
  </bookViews>
  <sheets>
    <sheet name="Sheet2" sheetId="3" r:id="rId1"/>
  </sheets>
  <definedNames>
    <definedName name="_xlnm._FilterDatabase" localSheetId="0" hidden="1">Sheet2!$A$2:$U$80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89" i="3" l="1"/>
  <c r="U90" i="3"/>
  <c r="U88" i="3"/>
  <c r="T4" i="3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S4" i="3"/>
  <c r="S5" i="3"/>
  <c r="S6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3" i="3"/>
  <c r="T3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R44" i="3"/>
  <c r="R45" i="3"/>
  <c r="R46" i="3"/>
  <c r="R47" i="3"/>
  <c r="R48" i="3"/>
  <c r="R49" i="3"/>
  <c r="R50" i="3"/>
  <c r="R51" i="3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R75" i="3"/>
  <c r="R76" i="3"/>
  <c r="R77" i="3"/>
  <c r="R78" i="3"/>
  <c r="R79" i="3"/>
  <c r="R80" i="3"/>
  <c r="R3" i="3"/>
  <c r="U92" i="3" l="1"/>
  <c r="S83" i="3"/>
  <c r="R83" i="3"/>
  <c r="T83" i="3"/>
  <c r="T1" i="3" l="1"/>
  <c r="S1" i="3"/>
  <c r="R1" i="3"/>
  <c r="O80" i="3" l="1"/>
  <c r="O79" i="3"/>
  <c r="O78" i="3"/>
  <c r="O77" i="3"/>
  <c r="O76" i="3"/>
  <c r="O75" i="3"/>
  <c r="O74" i="3"/>
  <c r="O73" i="3"/>
  <c r="O72" i="3"/>
  <c r="O71" i="3"/>
  <c r="O70" i="3"/>
  <c r="O69" i="3"/>
  <c r="O68" i="3"/>
  <c r="O67" i="3"/>
  <c r="O66" i="3"/>
  <c r="O65" i="3"/>
  <c r="O64" i="3"/>
  <c r="O63" i="3"/>
  <c r="O62" i="3"/>
  <c r="O61" i="3"/>
  <c r="O60" i="3"/>
  <c r="O59" i="3"/>
  <c r="O58" i="3"/>
  <c r="O57" i="3"/>
  <c r="O56" i="3"/>
  <c r="O55" i="3"/>
  <c r="O54" i="3"/>
  <c r="O53" i="3"/>
  <c r="O52" i="3"/>
  <c r="O51" i="3"/>
  <c r="O50" i="3"/>
  <c r="O49" i="3"/>
  <c r="O48" i="3"/>
  <c r="O47" i="3"/>
  <c r="O46" i="3"/>
  <c r="O45" i="3"/>
  <c r="O44" i="3"/>
  <c r="O43" i="3"/>
  <c r="O42" i="3"/>
  <c r="O41" i="3"/>
  <c r="O40" i="3"/>
  <c r="O39" i="3"/>
  <c r="O38" i="3"/>
  <c r="O37" i="3"/>
  <c r="O36" i="3"/>
  <c r="O35" i="3"/>
  <c r="O34" i="3"/>
  <c r="O33" i="3"/>
  <c r="O32" i="3"/>
  <c r="O31" i="3"/>
  <c r="O30" i="3"/>
  <c r="O29" i="3"/>
  <c r="O28" i="3"/>
  <c r="O27" i="3"/>
  <c r="O26" i="3"/>
  <c r="O25" i="3"/>
  <c r="O24" i="3"/>
  <c r="O23" i="3"/>
  <c r="O22" i="3"/>
  <c r="O21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5" i="3"/>
  <c r="O4" i="3"/>
  <c r="O3" i="3"/>
</calcChain>
</file>

<file path=xl/sharedStrings.xml><?xml version="1.0" encoding="utf-8"?>
<sst xmlns="http://schemas.openxmlformats.org/spreadsheetml/2006/main" count="415" uniqueCount="117">
  <si>
    <t>开课学院：机械工程学院</t>
  </si>
  <si>
    <t>任课教师：唐正强</t>
  </si>
  <si>
    <t>序号</t>
  </si>
  <si>
    <t>学号</t>
  </si>
  <si>
    <t>姓名</t>
  </si>
  <si>
    <t>专业</t>
  </si>
  <si>
    <t>班级</t>
  </si>
  <si>
    <t>最大直径</t>
    <phoneticPr fontId="2" type="noConversion"/>
  </si>
  <si>
    <t>功率</t>
    <phoneticPr fontId="2" type="noConversion"/>
  </si>
  <si>
    <t>Vmin</t>
    <phoneticPr fontId="2" type="noConversion"/>
  </si>
  <si>
    <t>Vmax</t>
    <phoneticPr fontId="2" type="noConversion"/>
  </si>
  <si>
    <t>出勤</t>
    <phoneticPr fontId="2" type="noConversion"/>
  </si>
  <si>
    <t>工作量</t>
    <phoneticPr fontId="2" type="noConversion"/>
  </si>
  <si>
    <t>设计能力</t>
    <phoneticPr fontId="2" type="noConversion"/>
  </si>
  <si>
    <t>问答</t>
    <phoneticPr fontId="2" type="noConversion"/>
  </si>
  <si>
    <t>说明书图纸</t>
    <phoneticPr fontId="2" type="noConversion"/>
  </si>
  <si>
    <t>综合得分</t>
    <phoneticPr fontId="2" type="noConversion"/>
  </si>
  <si>
    <t>320</t>
    <phoneticPr fontId="2" type="noConversion"/>
  </si>
  <si>
    <t>4</t>
    <phoneticPr fontId="2" type="noConversion"/>
  </si>
  <si>
    <t>125</t>
    <phoneticPr fontId="2" type="noConversion"/>
  </si>
  <si>
    <t>1600</t>
    <phoneticPr fontId="2" type="noConversion"/>
  </si>
  <si>
    <t>118</t>
    <phoneticPr fontId="2" type="noConversion"/>
  </si>
  <si>
    <t>1500</t>
    <phoneticPr fontId="2" type="noConversion"/>
  </si>
  <si>
    <t>112</t>
    <phoneticPr fontId="2" type="noConversion"/>
  </si>
  <si>
    <t>1400</t>
    <phoneticPr fontId="2" type="noConversion"/>
  </si>
  <si>
    <t>106</t>
    <phoneticPr fontId="2" type="noConversion"/>
  </si>
  <si>
    <t>1320</t>
    <phoneticPr fontId="2" type="noConversion"/>
  </si>
  <si>
    <t>100</t>
    <phoneticPr fontId="2" type="noConversion"/>
  </si>
  <si>
    <t>1250</t>
    <phoneticPr fontId="2" type="noConversion"/>
  </si>
  <si>
    <t>95</t>
    <phoneticPr fontId="2" type="noConversion"/>
  </si>
  <si>
    <t>1180</t>
    <phoneticPr fontId="2" type="noConversion"/>
  </si>
  <si>
    <t>90</t>
    <phoneticPr fontId="2" type="noConversion"/>
  </si>
  <si>
    <t>1120</t>
    <phoneticPr fontId="2" type="noConversion"/>
  </si>
  <si>
    <t>85</t>
    <phoneticPr fontId="2" type="noConversion"/>
  </si>
  <si>
    <t>1060</t>
    <phoneticPr fontId="2" type="noConversion"/>
  </si>
  <si>
    <t>80</t>
    <phoneticPr fontId="2" type="noConversion"/>
  </si>
  <si>
    <t>1000</t>
    <phoneticPr fontId="2" type="noConversion"/>
  </si>
  <si>
    <t>5.5</t>
    <phoneticPr fontId="2" type="noConversion"/>
  </si>
  <si>
    <t>7.5</t>
    <phoneticPr fontId="2" type="noConversion"/>
  </si>
  <si>
    <t>360</t>
    <phoneticPr fontId="2" type="noConversion"/>
  </si>
  <si>
    <r>
      <rPr>
        <sz val="9"/>
        <rFont val="宋体"/>
        <family val="3"/>
        <charset val="134"/>
      </rPr>
      <t>学分：</t>
    </r>
    <r>
      <rPr>
        <sz val="9"/>
        <rFont val="Courier New"/>
        <family val="3"/>
      </rPr>
      <t>2.0</t>
    </r>
    <phoneticPr fontId="2" type="noConversion"/>
  </si>
  <si>
    <t>机械设计制造及其自动化</t>
  </si>
  <si>
    <t>机自171</t>
  </si>
  <si>
    <t>1715000046</t>
  </si>
  <si>
    <t>张翼腾</t>
  </si>
  <si>
    <t>1715000064</t>
  </si>
  <si>
    <t>周山森</t>
  </si>
  <si>
    <t>1715000119</t>
  </si>
  <si>
    <t>马寅岍</t>
  </si>
  <si>
    <t>1715000230</t>
  </si>
  <si>
    <t>杨贵林</t>
  </si>
  <si>
    <t>1715000246</t>
  </si>
  <si>
    <t>犹大国</t>
  </si>
  <si>
    <t>1715000262</t>
  </si>
  <si>
    <t>周军</t>
  </si>
  <si>
    <t>1715000272</t>
  </si>
  <si>
    <t>龙锦华</t>
  </si>
  <si>
    <t>1715000294</t>
  </si>
  <si>
    <t>邓建雄</t>
  </si>
  <si>
    <t>1715000296</t>
  </si>
  <si>
    <t>刘漂</t>
  </si>
  <si>
    <t>1715000306</t>
  </si>
  <si>
    <t>龚登友</t>
  </si>
  <si>
    <t>1715000325</t>
  </si>
  <si>
    <t>杨庭伟</t>
  </si>
  <si>
    <t>1715000364</t>
  </si>
  <si>
    <t>贺文林</t>
  </si>
  <si>
    <t>1715000379</t>
  </si>
  <si>
    <t>黄华</t>
  </si>
  <si>
    <t>1715000397</t>
  </si>
  <si>
    <t>陈曦</t>
  </si>
  <si>
    <t>1715000398</t>
  </si>
  <si>
    <t>官文超</t>
  </si>
  <si>
    <t>1715000427</t>
  </si>
  <si>
    <t>欧丽</t>
  </si>
  <si>
    <t>1600150343</t>
  </si>
  <si>
    <t>孟杰</t>
  </si>
  <si>
    <t>机自172</t>
  </si>
  <si>
    <t>1715000054</t>
  </si>
  <si>
    <t>李小念</t>
  </si>
  <si>
    <t>1715000075</t>
  </si>
  <si>
    <t>金学壮</t>
  </si>
  <si>
    <t>1715000084</t>
  </si>
  <si>
    <t>张望</t>
  </si>
  <si>
    <t>1715000105</t>
  </si>
  <si>
    <t>吴炜</t>
  </si>
  <si>
    <t>1715000109</t>
  </si>
  <si>
    <t>田皓阳</t>
  </si>
  <si>
    <t>1715000118</t>
  </si>
  <si>
    <t>吴东辉</t>
  </si>
  <si>
    <t>1715000136</t>
  </si>
  <si>
    <t>周友发</t>
  </si>
  <si>
    <t>1715000208</t>
  </si>
  <si>
    <t>卢斌</t>
  </si>
  <si>
    <t>1715000217</t>
  </si>
  <si>
    <t>姚登能</t>
  </si>
  <si>
    <t>1715000254</t>
  </si>
  <si>
    <t>曾祥礼</t>
  </si>
  <si>
    <t>1715000264</t>
  </si>
  <si>
    <t>金耕鑫</t>
  </si>
  <si>
    <t>1715000324</t>
  </si>
  <si>
    <t>王俊霖</t>
  </si>
  <si>
    <t>1715000345</t>
  </si>
  <si>
    <t>王民钦</t>
  </si>
  <si>
    <t>1715000355</t>
  </si>
  <si>
    <t>周维兴</t>
  </si>
  <si>
    <t>1715000382</t>
  </si>
  <si>
    <t>宦燕飞</t>
  </si>
  <si>
    <t>1715000411</t>
  </si>
  <si>
    <t>郑丹妮</t>
  </si>
  <si>
    <t>课程目标1</t>
    <phoneticPr fontId="2" type="noConversion"/>
  </si>
  <si>
    <t>课程目标2</t>
    <phoneticPr fontId="2" type="noConversion"/>
  </si>
  <si>
    <t>课程目标3</t>
    <phoneticPr fontId="2" type="noConversion"/>
  </si>
  <si>
    <t>A</t>
    <phoneticPr fontId="2" type="noConversion"/>
  </si>
  <si>
    <t>B</t>
    <phoneticPr fontId="2" type="noConversion"/>
  </si>
  <si>
    <t>C</t>
    <phoneticPr fontId="2" type="noConversion"/>
  </si>
  <si>
    <t>B*C/A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</si>
</sst>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9"/>
      <name val="Courier New"/>
      <family val="3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Courier New"/>
      <family val="3"/>
    </font>
    <font>
      <sz val="9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18">
    <xf numFmtId="0" fontId="0" fillId="0" borderId="0" xfId="0">
      <alignment vertical="center"/>
    </xf>
    <xf numFmtId="176" fontId="0" fillId="2" borderId="1" xfId="0" applyNumberFormat="1" applyFill="1" applyBorder="1" applyAlignment="1"/>
    <xf numFmtId="49" fontId="0" fillId="2" borderId="1" xfId="0" applyNumberFormat="1" applyFill="1" applyBorder="1" applyAlignment="1"/>
    <xf numFmtId="0" fontId="3" fillId="2" borderId="1" xfId="0" applyFont="1" applyFill="1" applyBorder="1">
      <alignment vertical="center"/>
    </xf>
    <xf numFmtId="0" fontId="4" fillId="2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3" fillId="0" borderId="1" xfId="0" quotePrefix="1" applyFont="1" applyBorder="1">
      <alignment vertical="center"/>
    </xf>
    <xf numFmtId="0" fontId="0" fillId="2" borderId="1" xfId="0" applyFill="1" applyBorder="1">
      <alignment vertical="center"/>
    </xf>
    <xf numFmtId="176" fontId="3" fillId="3" borderId="0" xfId="0" applyNumberFormat="1" applyFont="1" applyFill="1">
      <alignment vertical="center"/>
    </xf>
    <xf numFmtId="176" fontId="5" fillId="3" borderId="1" xfId="0" applyNumberFormat="1" applyFont="1" applyFill="1" applyBorder="1">
      <alignment vertical="center"/>
    </xf>
    <xf numFmtId="0" fontId="3" fillId="0" borderId="1" xfId="1" quotePrefix="1" applyFont="1" applyBorder="1">
      <alignment vertical="center"/>
    </xf>
    <xf numFmtId="176" fontId="6" fillId="3" borderId="1" xfId="0" applyNumberFormat="1" applyFont="1" applyFill="1" applyBorder="1">
      <alignment vertical="center"/>
    </xf>
    <xf numFmtId="0" fontId="3" fillId="2" borderId="0" xfId="0" applyFont="1" applyFill="1">
      <alignment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>
      <alignment vertical="center"/>
    </xf>
    <xf numFmtId="0" fontId="7" fillId="0" borderId="1" xfId="0" applyFont="1" applyBorder="1" applyAlignment="1">
      <alignment horizontal="center" vertical="center" wrapText="1"/>
    </xf>
    <xf numFmtId="0" fontId="3" fillId="2" borderId="0" xfId="0" applyFont="1" applyFill="1">
      <alignment vertical="center"/>
    </xf>
    <xf numFmtId="0" fontId="3" fillId="2" borderId="2" xfId="0" applyFont="1" applyFill="1" applyBorder="1">
      <alignment vertical="center"/>
    </xf>
  </cellXfs>
  <cellStyles count="2">
    <cellStyle name="常规" xfId="0" builtinId="0"/>
    <cellStyle name="常规 2" xfId="1" xr:uid="{0E5D7901-AA60-4B03-9DB5-0AFBC4E6B89A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AC311-1957-478B-BCAD-F6A1AE540E01}">
  <sheetPr filterMode="1"/>
  <dimension ref="A1:U92"/>
  <sheetViews>
    <sheetView tabSelected="1" workbookViewId="0">
      <selection activeCell="B3" sqref="B3:C80"/>
    </sheetView>
  </sheetViews>
  <sheetFormatPr defaultRowHeight="15.3" x14ac:dyDescent="0.45"/>
  <cols>
    <col min="18" max="20" width="10.5" bestFit="1" customWidth="1"/>
  </cols>
  <sheetData>
    <row r="1" spans="1:20" x14ac:dyDescent="0.45">
      <c r="A1" s="17" t="s">
        <v>0</v>
      </c>
      <c r="B1" s="17"/>
      <c r="C1" s="17"/>
      <c r="D1" s="12" t="s">
        <v>1</v>
      </c>
      <c r="E1" s="16" t="s">
        <v>40</v>
      </c>
      <c r="F1" s="16"/>
      <c r="G1" s="12"/>
      <c r="H1" s="12"/>
      <c r="I1" s="12"/>
      <c r="J1" s="12"/>
      <c r="K1" s="12"/>
      <c r="L1" s="12"/>
      <c r="M1" s="12"/>
      <c r="N1" s="12"/>
      <c r="O1" s="8"/>
      <c r="R1" s="14">
        <f>10+5+5</f>
        <v>20</v>
      </c>
      <c r="S1" s="14">
        <f>10+35+15</f>
        <v>60</v>
      </c>
      <c r="T1" s="14">
        <f>20</f>
        <v>20</v>
      </c>
    </row>
    <row r="2" spans="1:20" x14ac:dyDescent="0.45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4" t="s">
        <v>7</v>
      </c>
      <c r="G2" s="4" t="s">
        <v>8</v>
      </c>
      <c r="H2" s="3" t="s">
        <v>9</v>
      </c>
      <c r="I2" s="3" t="s">
        <v>10</v>
      </c>
      <c r="J2" s="5" t="s">
        <v>11</v>
      </c>
      <c r="K2" s="5" t="s">
        <v>12</v>
      </c>
      <c r="L2" s="5" t="s">
        <v>13</v>
      </c>
      <c r="M2" s="5" t="s">
        <v>14</v>
      </c>
      <c r="N2" s="5" t="s">
        <v>15</v>
      </c>
      <c r="O2" s="9" t="s">
        <v>16</v>
      </c>
      <c r="R2" s="14" t="s">
        <v>110</v>
      </c>
      <c r="S2" s="14" t="s">
        <v>111</v>
      </c>
      <c r="T2" s="14" t="s">
        <v>112</v>
      </c>
    </row>
    <row r="3" spans="1:20" ht="15.6" x14ac:dyDescent="0.45">
      <c r="A3" s="1">
        <v>1</v>
      </c>
      <c r="B3" s="6"/>
      <c r="C3" s="6"/>
      <c r="D3" s="6" t="s">
        <v>41</v>
      </c>
      <c r="E3" s="6" t="s">
        <v>42</v>
      </c>
      <c r="F3" s="2" t="s">
        <v>17</v>
      </c>
      <c r="G3" s="2" t="s">
        <v>18</v>
      </c>
      <c r="H3" s="2" t="s">
        <v>19</v>
      </c>
      <c r="I3" s="2" t="s">
        <v>20</v>
      </c>
      <c r="J3" s="7">
        <v>75</v>
      </c>
      <c r="K3" s="7">
        <v>85</v>
      </c>
      <c r="L3" s="7">
        <v>80</v>
      </c>
      <c r="M3" s="7">
        <v>82</v>
      </c>
      <c r="N3" s="7">
        <v>80</v>
      </c>
      <c r="O3" s="11">
        <f>ROUND(J3*0.1+K3*0.1+L3*0.4+M3*0.2+N3*0.2,0)</f>
        <v>80</v>
      </c>
      <c r="R3" s="14">
        <f>0.1*K3+0.4*L3*0.125+0.2*M3*0.25</f>
        <v>16.600000000000001</v>
      </c>
      <c r="S3" s="14">
        <f>K3*0.1+L3*0.4*0.875+M3*0.2*0.75</f>
        <v>48.8</v>
      </c>
      <c r="T3" s="14">
        <f>N3*0.2</f>
        <v>16</v>
      </c>
    </row>
    <row r="4" spans="1:20" ht="15.6" hidden="1" x14ac:dyDescent="0.45">
      <c r="A4" s="1">
        <v>2</v>
      </c>
      <c r="B4" s="6" t="s">
        <v>43</v>
      </c>
      <c r="C4" s="6" t="s">
        <v>44</v>
      </c>
      <c r="D4" s="6" t="s">
        <v>41</v>
      </c>
      <c r="E4" s="6" t="s">
        <v>42</v>
      </c>
      <c r="F4" s="2" t="s">
        <v>17</v>
      </c>
      <c r="G4" s="2" t="s">
        <v>18</v>
      </c>
      <c r="H4" s="2" t="s">
        <v>21</v>
      </c>
      <c r="I4" s="2" t="s">
        <v>22</v>
      </c>
      <c r="J4" s="7">
        <v>75</v>
      </c>
      <c r="K4" s="7">
        <v>80</v>
      </c>
      <c r="L4" s="7">
        <v>72</v>
      </c>
      <c r="M4" s="7">
        <v>70</v>
      </c>
      <c r="N4" s="7">
        <v>78</v>
      </c>
      <c r="O4" s="11">
        <f t="shared" ref="O4:O66" si="0">ROUND(J4*0.1+K4*0.1+L4*0.4+M4*0.2+N4*0.2,0)</f>
        <v>74</v>
      </c>
      <c r="R4" s="14">
        <f t="shared" ref="R4:R67" si="1">0.1*K4+0.4*L4*0.125+0.2*M4*0.25</f>
        <v>15.1</v>
      </c>
      <c r="S4" s="14">
        <f t="shared" ref="S4:S67" si="2">K4*0.1+L4*0.4*0.875+M4*0.2*0.75</f>
        <v>43.7</v>
      </c>
      <c r="T4" s="14">
        <f t="shared" ref="T4:T67" si="3">N4*0.2</f>
        <v>15.600000000000001</v>
      </c>
    </row>
    <row r="5" spans="1:20" ht="15.6" hidden="1" x14ac:dyDescent="0.45">
      <c r="A5" s="1">
        <v>3</v>
      </c>
      <c r="B5" s="6" t="s">
        <v>45</v>
      </c>
      <c r="C5" s="6" t="s">
        <v>46</v>
      </c>
      <c r="D5" s="6" t="s">
        <v>41</v>
      </c>
      <c r="E5" s="6" t="s">
        <v>42</v>
      </c>
      <c r="F5" s="2" t="s">
        <v>17</v>
      </c>
      <c r="G5" s="2" t="s">
        <v>18</v>
      </c>
      <c r="H5" s="2" t="s">
        <v>25</v>
      </c>
      <c r="I5" s="2" t="s">
        <v>26</v>
      </c>
      <c r="J5" s="7">
        <v>75</v>
      </c>
      <c r="K5" s="7">
        <v>80</v>
      </c>
      <c r="L5" s="7">
        <v>75</v>
      </c>
      <c r="M5" s="7">
        <v>80</v>
      </c>
      <c r="N5" s="7">
        <v>75</v>
      </c>
      <c r="O5" s="11">
        <f t="shared" si="0"/>
        <v>77</v>
      </c>
      <c r="R5" s="14">
        <f t="shared" si="1"/>
        <v>15.75</v>
      </c>
      <c r="S5" s="14">
        <f t="shared" si="2"/>
        <v>46.25</v>
      </c>
      <c r="T5" s="14">
        <f t="shared" si="3"/>
        <v>15</v>
      </c>
    </row>
    <row r="6" spans="1:20" ht="15.6" x14ac:dyDescent="0.45">
      <c r="A6" s="1">
        <v>4</v>
      </c>
      <c r="B6" s="6"/>
      <c r="C6" s="6"/>
      <c r="D6" s="6" t="s">
        <v>41</v>
      </c>
      <c r="E6" s="6" t="s">
        <v>42</v>
      </c>
      <c r="F6" s="2" t="s">
        <v>17</v>
      </c>
      <c r="G6" s="2" t="s">
        <v>18</v>
      </c>
      <c r="H6" s="2" t="s">
        <v>27</v>
      </c>
      <c r="I6" s="2" t="s">
        <v>28</v>
      </c>
      <c r="J6" s="7">
        <v>75</v>
      </c>
      <c r="K6" s="7">
        <v>85</v>
      </c>
      <c r="L6" s="7">
        <v>83</v>
      </c>
      <c r="M6" s="7">
        <v>82</v>
      </c>
      <c r="N6" s="7">
        <v>80</v>
      </c>
      <c r="O6" s="11">
        <f t="shared" si="0"/>
        <v>82</v>
      </c>
      <c r="R6" s="14">
        <f t="shared" si="1"/>
        <v>16.75</v>
      </c>
      <c r="S6" s="14">
        <f t="shared" si="2"/>
        <v>49.850000000000009</v>
      </c>
      <c r="T6" s="14">
        <f t="shared" si="3"/>
        <v>16</v>
      </c>
    </row>
    <row r="7" spans="1:20" ht="15.6" x14ac:dyDescent="0.45">
      <c r="A7" s="1">
        <v>5</v>
      </c>
      <c r="B7" s="6"/>
      <c r="C7" s="6"/>
      <c r="D7" s="6" t="s">
        <v>41</v>
      </c>
      <c r="E7" s="6" t="s">
        <v>42</v>
      </c>
      <c r="F7" s="2" t="s">
        <v>17</v>
      </c>
      <c r="G7" s="2" t="s">
        <v>18</v>
      </c>
      <c r="H7" s="2" t="s">
        <v>29</v>
      </c>
      <c r="I7" s="2" t="s">
        <v>30</v>
      </c>
      <c r="J7" s="7">
        <v>80</v>
      </c>
      <c r="K7" s="7">
        <v>88</v>
      </c>
      <c r="L7" s="7">
        <v>89</v>
      </c>
      <c r="M7" s="7">
        <v>85</v>
      </c>
      <c r="N7" s="7">
        <v>80</v>
      </c>
      <c r="O7" s="11">
        <f t="shared" si="0"/>
        <v>85</v>
      </c>
      <c r="R7" s="14">
        <f t="shared" si="1"/>
        <v>17.5</v>
      </c>
      <c r="S7" s="14">
        <f t="shared" si="2"/>
        <v>52.7</v>
      </c>
      <c r="T7" s="14">
        <f t="shared" si="3"/>
        <v>16</v>
      </c>
    </row>
    <row r="8" spans="1:20" ht="15.6" hidden="1" x14ac:dyDescent="0.45">
      <c r="A8" s="1">
        <v>6</v>
      </c>
      <c r="B8" s="6" t="s">
        <v>47</v>
      </c>
      <c r="C8" s="6" t="s">
        <v>48</v>
      </c>
      <c r="D8" s="6" t="s">
        <v>41</v>
      </c>
      <c r="E8" s="6" t="s">
        <v>42</v>
      </c>
      <c r="F8" s="2" t="s">
        <v>17</v>
      </c>
      <c r="G8" s="2" t="s">
        <v>18</v>
      </c>
      <c r="H8" s="2" t="s">
        <v>31</v>
      </c>
      <c r="I8" s="2" t="s">
        <v>32</v>
      </c>
      <c r="J8" s="7">
        <v>70</v>
      </c>
      <c r="K8" s="7">
        <v>70</v>
      </c>
      <c r="L8" s="7">
        <v>65</v>
      </c>
      <c r="M8" s="7">
        <v>62</v>
      </c>
      <c r="N8" s="7">
        <v>70</v>
      </c>
      <c r="O8" s="11">
        <f t="shared" si="0"/>
        <v>66</v>
      </c>
      <c r="R8" s="14">
        <f t="shared" si="1"/>
        <v>13.35</v>
      </c>
      <c r="S8" s="14">
        <f t="shared" si="2"/>
        <v>39.049999999999997</v>
      </c>
      <c r="T8" s="14">
        <f t="shared" si="3"/>
        <v>14</v>
      </c>
    </row>
    <row r="9" spans="1:20" ht="15.6" x14ac:dyDescent="0.45">
      <c r="A9" s="1">
        <v>7</v>
      </c>
      <c r="B9" s="6"/>
      <c r="C9" s="6"/>
      <c r="D9" s="6" t="s">
        <v>41</v>
      </c>
      <c r="E9" s="6" t="s">
        <v>42</v>
      </c>
      <c r="F9" s="2" t="s">
        <v>17</v>
      </c>
      <c r="G9" s="2" t="s">
        <v>18</v>
      </c>
      <c r="H9" s="2" t="s">
        <v>33</v>
      </c>
      <c r="I9" s="2" t="s">
        <v>34</v>
      </c>
      <c r="J9" s="7">
        <v>85</v>
      </c>
      <c r="K9" s="7">
        <v>90</v>
      </c>
      <c r="L9" s="7">
        <v>90</v>
      </c>
      <c r="M9" s="7">
        <v>91</v>
      </c>
      <c r="N9" s="7">
        <v>80</v>
      </c>
      <c r="O9" s="11">
        <f t="shared" si="0"/>
        <v>88</v>
      </c>
      <c r="R9" s="14">
        <f t="shared" si="1"/>
        <v>18.05</v>
      </c>
      <c r="S9" s="14">
        <f t="shared" si="2"/>
        <v>54.15</v>
      </c>
      <c r="T9" s="14">
        <f t="shared" si="3"/>
        <v>16</v>
      </c>
    </row>
    <row r="10" spans="1:20" ht="15.6" x14ac:dyDescent="0.45">
      <c r="A10" s="1">
        <v>8</v>
      </c>
      <c r="B10" s="6"/>
      <c r="C10" s="6"/>
      <c r="D10" s="6" t="s">
        <v>41</v>
      </c>
      <c r="E10" s="6" t="s">
        <v>42</v>
      </c>
      <c r="F10" s="2" t="s">
        <v>17</v>
      </c>
      <c r="G10" s="2" t="s">
        <v>18</v>
      </c>
      <c r="H10" s="2" t="s">
        <v>35</v>
      </c>
      <c r="I10" s="2" t="s">
        <v>36</v>
      </c>
      <c r="J10" s="7">
        <v>75</v>
      </c>
      <c r="K10" s="7">
        <v>85</v>
      </c>
      <c r="L10" s="7">
        <v>80</v>
      </c>
      <c r="M10" s="7">
        <v>85</v>
      </c>
      <c r="N10" s="7">
        <v>78</v>
      </c>
      <c r="O10" s="11">
        <f t="shared" si="0"/>
        <v>81</v>
      </c>
      <c r="R10" s="14">
        <f t="shared" si="1"/>
        <v>16.75</v>
      </c>
      <c r="S10" s="14">
        <f t="shared" si="2"/>
        <v>49.25</v>
      </c>
      <c r="T10" s="14">
        <f t="shared" si="3"/>
        <v>15.600000000000001</v>
      </c>
    </row>
    <row r="11" spans="1:20" ht="15.6" x14ac:dyDescent="0.45">
      <c r="A11" s="1">
        <v>9</v>
      </c>
      <c r="B11" s="6"/>
      <c r="C11" s="6"/>
      <c r="D11" s="6" t="s">
        <v>41</v>
      </c>
      <c r="E11" s="6" t="s">
        <v>42</v>
      </c>
      <c r="F11" s="2" t="s">
        <v>17</v>
      </c>
      <c r="G11" s="2" t="s">
        <v>37</v>
      </c>
      <c r="H11" s="2" t="s">
        <v>19</v>
      </c>
      <c r="I11" s="2" t="s">
        <v>20</v>
      </c>
      <c r="J11" s="7">
        <v>80</v>
      </c>
      <c r="K11" s="7">
        <v>84</v>
      </c>
      <c r="L11" s="7">
        <v>80</v>
      </c>
      <c r="M11" s="7">
        <v>78</v>
      </c>
      <c r="N11" s="7">
        <v>78</v>
      </c>
      <c r="O11" s="11">
        <f t="shared" si="0"/>
        <v>80</v>
      </c>
      <c r="R11" s="14">
        <f t="shared" si="1"/>
        <v>16.3</v>
      </c>
      <c r="S11" s="14">
        <f t="shared" si="2"/>
        <v>48.1</v>
      </c>
      <c r="T11" s="14">
        <f t="shared" si="3"/>
        <v>15.600000000000001</v>
      </c>
    </row>
    <row r="12" spans="1:20" ht="15.6" x14ac:dyDescent="0.45">
      <c r="A12" s="1">
        <v>10</v>
      </c>
      <c r="B12" s="6"/>
      <c r="C12" s="6"/>
      <c r="D12" s="6" t="s">
        <v>41</v>
      </c>
      <c r="E12" s="6" t="s">
        <v>42</v>
      </c>
      <c r="F12" s="2" t="s">
        <v>17</v>
      </c>
      <c r="G12" s="2" t="s">
        <v>37</v>
      </c>
      <c r="H12" s="2" t="s">
        <v>21</v>
      </c>
      <c r="I12" s="2" t="s">
        <v>22</v>
      </c>
      <c r="J12" s="7">
        <v>80</v>
      </c>
      <c r="K12" s="7">
        <v>85</v>
      </c>
      <c r="L12" s="7">
        <v>84</v>
      </c>
      <c r="M12" s="7">
        <v>87</v>
      </c>
      <c r="N12" s="7">
        <v>78</v>
      </c>
      <c r="O12" s="11">
        <f t="shared" si="0"/>
        <v>83</v>
      </c>
      <c r="R12" s="14">
        <f t="shared" si="1"/>
        <v>17.05</v>
      </c>
      <c r="S12" s="14">
        <f t="shared" si="2"/>
        <v>50.95</v>
      </c>
      <c r="T12" s="14">
        <f t="shared" si="3"/>
        <v>15.600000000000001</v>
      </c>
    </row>
    <row r="13" spans="1:20" ht="15.6" x14ac:dyDescent="0.45">
      <c r="A13" s="1">
        <v>11</v>
      </c>
      <c r="B13" s="6"/>
      <c r="C13" s="6"/>
      <c r="D13" s="6" t="s">
        <v>41</v>
      </c>
      <c r="E13" s="6" t="s">
        <v>42</v>
      </c>
      <c r="F13" s="2" t="s">
        <v>17</v>
      </c>
      <c r="G13" s="2" t="s">
        <v>37</v>
      </c>
      <c r="H13" s="2" t="s">
        <v>23</v>
      </c>
      <c r="I13" s="2" t="s">
        <v>24</v>
      </c>
      <c r="J13" s="7">
        <v>85</v>
      </c>
      <c r="K13" s="7">
        <v>80</v>
      </c>
      <c r="L13" s="7">
        <v>78</v>
      </c>
      <c r="M13" s="7">
        <v>79</v>
      </c>
      <c r="N13" s="7">
        <v>80</v>
      </c>
      <c r="O13" s="11">
        <f t="shared" si="0"/>
        <v>80</v>
      </c>
      <c r="R13" s="14">
        <f t="shared" si="1"/>
        <v>15.850000000000001</v>
      </c>
      <c r="S13" s="14">
        <f t="shared" si="2"/>
        <v>47.150000000000006</v>
      </c>
      <c r="T13" s="14">
        <f t="shared" si="3"/>
        <v>16</v>
      </c>
    </row>
    <row r="14" spans="1:20" ht="15.6" x14ac:dyDescent="0.45">
      <c r="A14" s="1">
        <v>12</v>
      </c>
      <c r="B14" s="6"/>
      <c r="C14" s="6"/>
      <c r="D14" s="6" t="s">
        <v>41</v>
      </c>
      <c r="E14" s="6" t="s">
        <v>42</v>
      </c>
      <c r="F14" s="2" t="s">
        <v>17</v>
      </c>
      <c r="G14" s="2" t="s">
        <v>37</v>
      </c>
      <c r="H14" s="2" t="s">
        <v>25</v>
      </c>
      <c r="I14" s="2" t="s">
        <v>26</v>
      </c>
      <c r="J14" s="7">
        <v>80</v>
      </c>
      <c r="K14" s="7">
        <v>85</v>
      </c>
      <c r="L14" s="7">
        <v>80</v>
      </c>
      <c r="M14" s="7">
        <v>82</v>
      </c>
      <c r="N14" s="7">
        <v>75</v>
      </c>
      <c r="O14" s="11">
        <f t="shared" si="0"/>
        <v>80</v>
      </c>
      <c r="R14" s="14">
        <f t="shared" si="1"/>
        <v>16.600000000000001</v>
      </c>
      <c r="S14" s="14">
        <f t="shared" si="2"/>
        <v>48.8</v>
      </c>
      <c r="T14" s="14">
        <f t="shared" si="3"/>
        <v>15</v>
      </c>
    </row>
    <row r="15" spans="1:20" ht="15.6" hidden="1" x14ac:dyDescent="0.45">
      <c r="A15" s="1">
        <v>13</v>
      </c>
      <c r="B15" s="6" t="s">
        <v>49</v>
      </c>
      <c r="C15" s="6" t="s">
        <v>50</v>
      </c>
      <c r="D15" s="6" t="s">
        <v>41</v>
      </c>
      <c r="E15" s="6" t="s">
        <v>42</v>
      </c>
      <c r="F15" s="2" t="s">
        <v>17</v>
      </c>
      <c r="G15" s="2" t="s">
        <v>37</v>
      </c>
      <c r="H15" s="2" t="s">
        <v>27</v>
      </c>
      <c r="I15" s="2" t="s">
        <v>28</v>
      </c>
      <c r="J15" s="7">
        <v>70</v>
      </c>
      <c r="K15" s="7">
        <v>80</v>
      </c>
      <c r="L15" s="7">
        <v>71</v>
      </c>
      <c r="M15" s="7">
        <v>72</v>
      </c>
      <c r="N15" s="7">
        <v>74</v>
      </c>
      <c r="O15" s="11">
        <f t="shared" si="0"/>
        <v>73</v>
      </c>
      <c r="R15" s="14">
        <f t="shared" si="1"/>
        <v>15.15</v>
      </c>
      <c r="S15" s="14">
        <f t="shared" si="2"/>
        <v>43.650000000000006</v>
      </c>
      <c r="T15" s="14">
        <f t="shared" si="3"/>
        <v>14.8</v>
      </c>
    </row>
    <row r="16" spans="1:20" ht="15.6" hidden="1" x14ac:dyDescent="0.45">
      <c r="A16" s="1">
        <v>14</v>
      </c>
      <c r="B16" s="6" t="s">
        <v>51</v>
      </c>
      <c r="C16" s="6" t="s">
        <v>52</v>
      </c>
      <c r="D16" s="6" t="s">
        <v>41</v>
      </c>
      <c r="E16" s="6" t="s">
        <v>42</v>
      </c>
      <c r="F16" s="2" t="s">
        <v>17</v>
      </c>
      <c r="G16" s="2" t="s">
        <v>37</v>
      </c>
      <c r="H16" s="2" t="s">
        <v>29</v>
      </c>
      <c r="I16" s="2" t="s">
        <v>30</v>
      </c>
      <c r="J16" s="7">
        <v>70</v>
      </c>
      <c r="K16" s="7">
        <v>80</v>
      </c>
      <c r="L16" s="7">
        <v>75</v>
      </c>
      <c r="M16" s="7">
        <v>72</v>
      </c>
      <c r="N16" s="7">
        <v>70</v>
      </c>
      <c r="O16" s="11">
        <f t="shared" si="0"/>
        <v>73</v>
      </c>
      <c r="R16" s="14">
        <f t="shared" si="1"/>
        <v>15.35</v>
      </c>
      <c r="S16" s="14">
        <f t="shared" si="2"/>
        <v>45.05</v>
      </c>
      <c r="T16" s="14">
        <f t="shared" si="3"/>
        <v>14</v>
      </c>
    </row>
    <row r="17" spans="1:20" ht="15.6" hidden="1" x14ac:dyDescent="0.45">
      <c r="A17" s="1">
        <v>15</v>
      </c>
      <c r="B17" s="6" t="s">
        <v>53</v>
      </c>
      <c r="C17" s="6" t="s">
        <v>54</v>
      </c>
      <c r="D17" s="6" t="s">
        <v>41</v>
      </c>
      <c r="E17" s="6" t="s">
        <v>42</v>
      </c>
      <c r="F17" s="2" t="s">
        <v>17</v>
      </c>
      <c r="G17" s="2" t="s">
        <v>37</v>
      </c>
      <c r="H17" s="2" t="s">
        <v>31</v>
      </c>
      <c r="I17" s="2" t="s">
        <v>32</v>
      </c>
      <c r="J17" s="7">
        <v>75</v>
      </c>
      <c r="K17" s="7">
        <v>80</v>
      </c>
      <c r="L17" s="7">
        <v>80</v>
      </c>
      <c r="M17" s="7">
        <v>74</v>
      </c>
      <c r="N17" s="7">
        <v>75</v>
      </c>
      <c r="O17" s="11">
        <f t="shared" si="0"/>
        <v>77</v>
      </c>
      <c r="R17" s="14">
        <f t="shared" si="1"/>
        <v>15.7</v>
      </c>
      <c r="S17" s="14">
        <f t="shared" si="2"/>
        <v>47.1</v>
      </c>
      <c r="T17" s="14">
        <f t="shared" si="3"/>
        <v>15</v>
      </c>
    </row>
    <row r="18" spans="1:20" ht="15.6" hidden="1" x14ac:dyDescent="0.45">
      <c r="A18" s="1">
        <v>16</v>
      </c>
      <c r="B18" s="6" t="s">
        <v>55</v>
      </c>
      <c r="C18" s="6" t="s">
        <v>56</v>
      </c>
      <c r="D18" s="6" t="s">
        <v>41</v>
      </c>
      <c r="E18" s="6" t="s">
        <v>42</v>
      </c>
      <c r="F18" s="2" t="s">
        <v>17</v>
      </c>
      <c r="G18" s="2" t="s">
        <v>37</v>
      </c>
      <c r="H18" s="2" t="s">
        <v>33</v>
      </c>
      <c r="I18" s="2" t="s">
        <v>34</v>
      </c>
      <c r="J18" s="7">
        <v>75</v>
      </c>
      <c r="K18" s="7">
        <v>80</v>
      </c>
      <c r="L18" s="7">
        <v>82</v>
      </c>
      <c r="M18" s="7">
        <v>80</v>
      </c>
      <c r="N18" s="7">
        <v>75</v>
      </c>
      <c r="O18" s="11">
        <f t="shared" si="0"/>
        <v>79</v>
      </c>
      <c r="R18" s="14">
        <f t="shared" si="1"/>
        <v>16.100000000000001</v>
      </c>
      <c r="S18" s="14">
        <f t="shared" si="2"/>
        <v>48.7</v>
      </c>
      <c r="T18" s="14">
        <f t="shared" si="3"/>
        <v>15</v>
      </c>
    </row>
    <row r="19" spans="1:20" ht="15.6" x14ac:dyDescent="0.45">
      <c r="A19" s="1">
        <v>17</v>
      </c>
      <c r="B19" s="6"/>
      <c r="C19" s="6"/>
      <c r="D19" s="6" t="s">
        <v>41</v>
      </c>
      <c r="E19" s="6" t="s">
        <v>42</v>
      </c>
      <c r="F19" s="2" t="s">
        <v>17</v>
      </c>
      <c r="G19" s="2" t="s">
        <v>37</v>
      </c>
      <c r="H19" s="2" t="s">
        <v>35</v>
      </c>
      <c r="I19" s="2" t="s">
        <v>36</v>
      </c>
      <c r="J19" s="7">
        <v>80</v>
      </c>
      <c r="K19" s="7">
        <v>85</v>
      </c>
      <c r="L19" s="7">
        <v>87</v>
      </c>
      <c r="M19" s="7">
        <v>82</v>
      </c>
      <c r="N19" s="7">
        <v>72</v>
      </c>
      <c r="O19" s="11">
        <f t="shared" si="0"/>
        <v>82</v>
      </c>
      <c r="R19" s="14">
        <f t="shared" si="1"/>
        <v>16.950000000000003</v>
      </c>
      <c r="S19" s="14">
        <f t="shared" si="2"/>
        <v>51.25</v>
      </c>
      <c r="T19" s="14">
        <f t="shared" si="3"/>
        <v>14.4</v>
      </c>
    </row>
    <row r="20" spans="1:20" ht="15.6" x14ac:dyDescent="0.45">
      <c r="A20" s="1">
        <v>18</v>
      </c>
      <c r="B20" s="6"/>
      <c r="C20" s="6"/>
      <c r="D20" s="6" t="s">
        <v>41</v>
      </c>
      <c r="E20" s="6" t="s">
        <v>42</v>
      </c>
      <c r="F20" s="2" t="s">
        <v>17</v>
      </c>
      <c r="G20" s="2" t="s">
        <v>38</v>
      </c>
      <c r="H20" s="2" t="s">
        <v>19</v>
      </c>
      <c r="I20" s="2" t="s">
        <v>20</v>
      </c>
      <c r="J20" s="7">
        <v>85</v>
      </c>
      <c r="K20" s="7">
        <v>88</v>
      </c>
      <c r="L20" s="7">
        <v>85</v>
      </c>
      <c r="M20" s="7">
        <v>87</v>
      </c>
      <c r="N20" s="7">
        <v>80</v>
      </c>
      <c r="O20" s="11">
        <f t="shared" si="0"/>
        <v>85</v>
      </c>
      <c r="R20" s="14">
        <f t="shared" si="1"/>
        <v>17.400000000000002</v>
      </c>
      <c r="S20" s="14">
        <f t="shared" si="2"/>
        <v>51.599999999999994</v>
      </c>
      <c r="T20" s="14">
        <f t="shared" si="3"/>
        <v>16</v>
      </c>
    </row>
    <row r="21" spans="1:20" ht="15.6" x14ac:dyDescent="0.45">
      <c r="A21" s="1">
        <v>19</v>
      </c>
      <c r="B21" s="6"/>
      <c r="C21" s="6"/>
      <c r="D21" s="6" t="s">
        <v>41</v>
      </c>
      <c r="E21" s="6" t="s">
        <v>42</v>
      </c>
      <c r="F21" s="2" t="s">
        <v>17</v>
      </c>
      <c r="G21" s="2" t="s">
        <v>38</v>
      </c>
      <c r="H21" s="2" t="s">
        <v>21</v>
      </c>
      <c r="I21" s="2" t="s">
        <v>22</v>
      </c>
      <c r="J21" s="7">
        <v>80</v>
      </c>
      <c r="K21" s="7">
        <v>85</v>
      </c>
      <c r="L21" s="7">
        <v>82</v>
      </c>
      <c r="M21" s="7">
        <v>82</v>
      </c>
      <c r="N21" s="7">
        <v>77</v>
      </c>
      <c r="O21" s="11">
        <f t="shared" si="0"/>
        <v>81</v>
      </c>
      <c r="R21" s="14">
        <f t="shared" si="1"/>
        <v>16.700000000000003</v>
      </c>
      <c r="S21" s="14">
        <f t="shared" si="2"/>
        <v>49.5</v>
      </c>
      <c r="T21" s="14">
        <f t="shared" si="3"/>
        <v>15.4</v>
      </c>
    </row>
    <row r="22" spans="1:20" ht="15.6" hidden="1" x14ac:dyDescent="0.45">
      <c r="A22" s="1">
        <v>20</v>
      </c>
      <c r="B22" s="6" t="s">
        <v>57</v>
      </c>
      <c r="C22" s="6" t="s">
        <v>58</v>
      </c>
      <c r="D22" s="6" t="s">
        <v>41</v>
      </c>
      <c r="E22" s="6" t="s">
        <v>42</v>
      </c>
      <c r="F22" s="2" t="s">
        <v>17</v>
      </c>
      <c r="G22" s="2" t="s">
        <v>38</v>
      </c>
      <c r="H22" s="2" t="s">
        <v>23</v>
      </c>
      <c r="I22" s="2" t="s">
        <v>24</v>
      </c>
      <c r="J22" s="7">
        <v>90</v>
      </c>
      <c r="K22" s="7">
        <v>92</v>
      </c>
      <c r="L22" s="7">
        <v>91</v>
      </c>
      <c r="M22" s="7">
        <v>93</v>
      </c>
      <c r="N22" s="7">
        <v>82</v>
      </c>
      <c r="O22" s="11">
        <f t="shared" si="0"/>
        <v>90</v>
      </c>
      <c r="R22" s="14">
        <f t="shared" si="1"/>
        <v>18.399999999999999</v>
      </c>
      <c r="S22" s="14">
        <f t="shared" si="2"/>
        <v>55</v>
      </c>
      <c r="T22" s="14">
        <f t="shared" si="3"/>
        <v>16.400000000000002</v>
      </c>
    </row>
    <row r="23" spans="1:20" ht="15.6" hidden="1" x14ac:dyDescent="0.45">
      <c r="A23" s="1">
        <v>21</v>
      </c>
      <c r="B23" s="6" t="s">
        <v>59</v>
      </c>
      <c r="C23" s="6" t="s">
        <v>60</v>
      </c>
      <c r="D23" s="6" t="s">
        <v>41</v>
      </c>
      <c r="E23" s="6" t="s">
        <v>42</v>
      </c>
      <c r="F23" s="2" t="s">
        <v>17</v>
      </c>
      <c r="G23" s="2" t="s">
        <v>38</v>
      </c>
      <c r="H23" s="2" t="s">
        <v>25</v>
      </c>
      <c r="I23" s="2" t="s">
        <v>26</v>
      </c>
      <c r="J23" s="7">
        <v>70</v>
      </c>
      <c r="K23" s="7">
        <v>74</v>
      </c>
      <c r="L23" s="7">
        <v>70</v>
      </c>
      <c r="M23" s="7">
        <v>70</v>
      </c>
      <c r="N23" s="7">
        <v>70</v>
      </c>
      <c r="O23" s="11">
        <f t="shared" si="0"/>
        <v>70</v>
      </c>
      <c r="R23" s="14">
        <f t="shared" si="1"/>
        <v>14.4</v>
      </c>
      <c r="S23" s="14">
        <f t="shared" si="2"/>
        <v>42.4</v>
      </c>
      <c r="T23" s="14">
        <f t="shared" si="3"/>
        <v>14</v>
      </c>
    </row>
    <row r="24" spans="1:20" ht="15.6" hidden="1" x14ac:dyDescent="0.45">
      <c r="A24" s="1">
        <v>22</v>
      </c>
      <c r="B24" s="6" t="s">
        <v>61</v>
      </c>
      <c r="C24" s="6" t="s">
        <v>62</v>
      </c>
      <c r="D24" s="6" t="s">
        <v>41</v>
      </c>
      <c r="E24" s="6" t="s">
        <v>42</v>
      </c>
      <c r="F24" s="2" t="s">
        <v>17</v>
      </c>
      <c r="G24" s="2" t="s">
        <v>38</v>
      </c>
      <c r="H24" s="2" t="s">
        <v>27</v>
      </c>
      <c r="I24" s="2" t="s">
        <v>28</v>
      </c>
      <c r="J24" s="7">
        <v>75</v>
      </c>
      <c r="K24" s="7">
        <v>80</v>
      </c>
      <c r="L24" s="7">
        <v>70</v>
      </c>
      <c r="M24" s="7">
        <v>72</v>
      </c>
      <c r="N24" s="7">
        <v>75</v>
      </c>
      <c r="O24" s="11">
        <f t="shared" si="0"/>
        <v>73</v>
      </c>
      <c r="R24" s="14">
        <f t="shared" si="1"/>
        <v>15.1</v>
      </c>
      <c r="S24" s="14">
        <f t="shared" si="2"/>
        <v>43.3</v>
      </c>
      <c r="T24" s="14">
        <f t="shared" si="3"/>
        <v>15</v>
      </c>
    </row>
    <row r="25" spans="1:20" ht="15.6" x14ac:dyDescent="0.45">
      <c r="A25" s="1">
        <v>23</v>
      </c>
      <c r="B25" s="6"/>
      <c r="C25" s="6"/>
      <c r="D25" s="6" t="s">
        <v>41</v>
      </c>
      <c r="E25" s="6" t="s">
        <v>42</v>
      </c>
      <c r="F25" s="2" t="s">
        <v>17</v>
      </c>
      <c r="G25" s="2" t="s">
        <v>38</v>
      </c>
      <c r="H25" s="2" t="s">
        <v>29</v>
      </c>
      <c r="I25" s="2" t="s">
        <v>30</v>
      </c>
      <c r="J25" s="7">
        <v>80</v>
      </c>
      <c r="K25" s="7">
        <v>76</v>
      </c>
      <c r="L25" s="7">
        <v>81</v>
      </c>
      <c r="M25" s="7">
        <v>82</v>
      </c>
      <c r="N25" s="7">
        <v>80</v>
      </c>
      <c r="O25" s="11">
        <f t="shared" si="0"/>
        <v>80</v>
      </c>
      <c r="R25" s="14">
        <f t="shared" si="1"/>
        <v>15.75</v>
      </c>
      <c r="S25" s="14">
        <f t="shared" si="2"/>
        <v>48.25</v>
      </c>
      <c r="T25" s="14">
        <f t="shared" si="3"/>
        <v>16</v>
      </c>
    </row>
    <row r="26" spans="1:20" ht="15.6" x14ac:dyDescent="0.45">
      <c r="A26" s="1">
        <v>24</v>
      </c>
      <c r="B26" s="6"/>
      <c r="C26" s="6"/>
      <c r="D26" s="6" t="s">
        <v>41</v>
      </c>
      <c r="E26" s="6" t="s">
        <v>42</v>
      </c>
      <c r="F26" s="2" t="s">
        <v>17</v>
      </c>
      <c r="G26" s="2" t="s">
        <v>38</v>
      </c>
      <c r="H26" s="2" t="s">
        <v>31</v>
      </c>
      <c r="I26" s="2" t="s">
        <v>32</v>
      </c>
      <c r="J26" s="7">
        <v>75</v>
      </c>
      <c r="K26" s="7">
        <v>86</v>
      </c>
      <c r="L26" s="7">
        <v>82</v>
      </c>
      <c r="M26" s="7">
        <v>78</v>
      </c>
      <c r="N26" s="7">
        <v>78</v>
      </c>
      <c r="O26" s="11">
        <f t="shared" si="0"/>
        <v>80</v>
      </c>
      <c r="R26" s="14">
        <f t="shared" si="1"/>
        <v>16.600000000000001</v>
      </c>
      <c r="S26" s="14">
        <f t="shared" si="2"/>
        <v>49.000000000000007</v>
      </c>
      <c r="T26" s="14">
        <f t="shared" si="3"/>
        <v>15.600000000000001</v>
      </c>
    </row>
    <row r="27" spans="1:20" ht="15.6" x14ac:dyDescent="0.45">
      <c r="A27" s="1">
        <v>25</v>
      </c>
      <c r="B27" s="6"/>
      <c r="C27" s="6"/>
      <c r="D27" s="6" t="s">
        <v>41</v>
      </c>
      <c r="E27" s="6" t="s">
        <v>42</v>
      </c>
      <c r="F27" s="2" t="s">
        <v>17</v>
      </c>
      <c r="G27" s="2" t="s">
        <v>38</v>
      </c>
      <c r="H27" s="2" t="s">
        <v>33</v>
      </c>
      <c r="I27" s="2" t="s">
        <v>34</v>
      </c>
      <c r="J27" s="7">
        <v>84</v>
      </c>
      <c r="K27" s="7">
        <v>82</v>
      </c>
      <c r="L27" s="7">
        <v>82</v>
      </c>
      <c r="M27" s="7">
        <v>80</v>
      </c>
      <c r="N27" s="7">
        <v>74</v>
      </c>
      <c r="O27" s="11">
        <f t="shared" si="0"/>
        <v>80</v>
      </c>
      <c r="R27" s="14">
        <f t="shared" si="1"/>
        <v>16.3</v>
      </c>
      <c r="S27" s="14">
        <f t="shared" si="2"/>
        <v>48.900000000000006</v>
      </c>
      <c r="T27" s="14">
        <f t="shared" si="3"/>
        <v>14.8</v>
      </c>
    </row>
    <row r="28" spans="1:20" ht="15.6" hidden="1" x14ac:dyDescent="0.45">
      <c r="A28" s="1">
        <v>26</v>
      </c>
      <c r="B28" s="6" t="s">
        <v>63</v>
      </c>
      <c r="C28" s="6" t="s">
        <v>64</v>
      </c>
      <c r="D28" s="6" t="s">
        <v>41</v>
      </c>
      <c r="E28" s="6" t="s">
        <v>42</v>
      </c>
      <c r="F28" s="2" t="s">
        <v>17</v>
      </c>
      <c r="G28" s="2" t="s">
        <v>38</v>
      </c>
      <c r="H28" s="2" t="s">
        <v>35</v>
      </c>
      <c r="I28" s="2" t="s">
        <v>36</v>
      </c>
      <c r="J28" s="7">
        <v>75</v>
      </c>
      <c r="K28" s="7">
        <v>80</v>
      </c>
      <c r="L28" s="7">
        <v>78</v>
      </c>
      <c r="M28" s="7">
        <v>78</v>
      </c>
      <c r="N28" s="7">
        <v>75</v>
      </c>
      <c r="O28" s="11">
        <f t="shared" si="0"/>
        <v>77</v>
      </c>
      <c r="R28" s="14">
        <f t="shared" si="1"/>
        <v>15.8</v>
      </c>
      <c r="S28" s="14">
        <f t="shared" si="2"/>
        <v>47.000000000000007</v>
      </c>
      <c r="T28" s="14">
        <f t="shared" si="3"/>
        <v>15</v>
      </c>
    </row>
    <row r="29" spans="1:20" ht="15.6" x14ac:dyDescent="0.45">
      <c r="A29" s="1">
        <v>27</v>
      </c>
      <c r="B29" s="6"/>
      <c r="C29" s="6"/>
      <c r="D29" s="6" t="s">
        <v>41</v>
      </c>
      <c r="E29" s="6" t="s">
        <v>42</v>
      </c>
      <c r="F29" s="2" t="s">
        <v>39</v>
      </c>
      <c r="G29" s="2" t="s">
        <v>18</v>
      </c>
      <c r="H29" s="2" t="s">
        <v>19</v>
      </c>
      <c r="I29" s="2" t="s">
        <v>20</v>
      </c>
      <c r="J29" s="7">
        <v>85</v>
      </c>
      <c r="K29" s="7">
        <v>88</v>
      </c>
      <c r="L29" s="7">
        <v>85</v>
      </c>
      <c r="M29" s="7">
        <v>85</v>
      </c>
      <c r="N29" s="7">
        <v>80</v>
      </c>
      <c r="O29" s="11">
        <f t="shared" si="0"/>
        <v>84</v>
      </c>
      <c r="R29" s="14">
        <f t="shared" si="1"/>
        <v>17.3</v>
      </c>
      <c r="S29" s="14">
        <f t="shared" si="2"/>
        <v>51.3</v>
      </c>
      <c r="T29" s="14">
        <f t="shared" si="3"/>
        <v>16</v>
      </c>
    </row>
    <row r="30" spans="1:20" ht="15.6" x14ac:dyDescent="0.45">
      <c r="A30" s="1">
        <v>28</v>
      </c>
      <c r="B30" s="6"/>
      <c r="C30" s="6"/>
      <c r="D30" s="6" t="s">
        <v>41</v>
      </c>
      <c r="E30" s="6" t="s">
        <v>42</v>
      </c>
      <c r="F30" s="2" t="s">
        <v>39</v>
      </c>
      <c r="G30" s="2" t="s">
        <v>18</v>
      </c>
      <c r="H30" s="2" t="s">
        <v>21</v>
      </c>
      <c r="I30" s="2" t="s">
        <v>22</v>
      </c>
      <c r="J30" s="7">
        <v>85</v>
      </c>
      <c r="K30" s="7">
        <v>88</v>
      </c>
      <c r="L30" s="7">
        <v>90</v>
      </c>
      <c r="M30" s="7">
        <v>87</v>
      </c>
      <c r="N30" s="7">
        <v>80</v>
      </c>
      <c r="O30" s="11">
        <f t="shared" si="0"/>
        <v>87</v>
      </c>
      <c r="R30" s="14">
        <f t="shared" si="1"/>
        <v>17.650000000000002</v>
      </c>
      <c r="S30" s="14">
        <f t="shared" si="2"/>
        <v>53.349999999999994</v>
      </c>
      <c r="T30" s="14">
        <f t="shared" si="3"/>
        <v>16</v>
      </c>
    </row>
    <row r="31" spans="1:20" ht="15.6" hidden="1" x14ac:dyDescent="0.45">
      <c r="A31" s="1">
        <v>29</v>
      </c>
      <c r="B31" s="6" t="s">
        <v>65</v>
      </c>
      <c r="C31" s="6" t="s">
        <v>66</v>
      </c>
      <c r="D31" s="6" t="s">
        <v>41</v>
      </c>
      <c r="E31" s="6" t="s">
        <v>42</v>
      </c>
      <c r="F31" s="2" t="s">
        <v>39</v>
      </c>
      <c r="G31" s="2" t="s">
        <v>18</v>
      </c>
      <c r="H31" s="2" t="s">
        <v>23</v>
      </c>
      <c r="I31" s="2" t="s">
        <v>24</v>
      </c>
      <c r="J31" s="7">
        <v>75</v>
      </c>
      <c r="K31" s="7">
        <v>80</v>
      </c>
      <c r="L31" s="7">
        <v>72</v>
      </c>
      <c r="M31" s="7">
        <v>71</v>
      </c>
      <c r="N31" s="7">
        <v>75</v>
      </c>
      <c r="O31" s="11">
        <f t="shared" si="0"/>
        <v>74</v>
      </c>
      <c r="R31" s="14">
        <f t="shared" si="1"/>
        <v>15.15</v>
      </c>
      <c r="S31" s="14">
        <f t="shared" si="2"/>
        <v>43.85</v>
      </c>
      <c r="T31" s="14">
        <f t="shared" si="3"/>
        <v>15</v>
      </c>
    </row>
    <row r="32" spans="1:20" ht="15.6" x14ac:dyDescent="0.45">
      <c r="A32" s="1">
        <v>30</v>
      </c>
      <c r="B32" s="6"/>
      <c r="C32" s="6"/>
      <c r="D32" s="6" t="s">
        <v>41</v>
      </c>
      <c r="E32" s="6" t="s">
        <v>42</v>
      </c>
      <c r="F32" s="2" t="s">
        <v>39</v>
      </c>
      <c r="G32" s="2" t="s">
        <v>18</v>
      </c>
      <c r="H32" s="2" t="s">
        <v>25</v>
      </c>
      <c r="I32" s="2" t="s">
        <v>26</v>
      </c>
      <c r="J32" s="7">
        <v>85</v>
      </c>
      <c r="K32" s="7">
        <v>80</v>
      </c>
      <c r="L32" s="7">
        <v>85</v>
      </c>
      <c r="M32" s="7">
        <v>83</v>
      </c>
      <c r="N32" s="7">
        <v>75</v>
      </c>
      <c r="O32" s="11">
        <f t="shared" si="0"/>
        <v>82</v>
      </c>
      <c r="R32" s="14">
        <f t="shared" si="1"/>
        <v>16.399999999999999</v>
      </c>
      <c r="S32" s="14">
        <f t="shared" si="2"/>
        <v>50.2</v>
      </c>
      <c r="T32" s="14">
        <f t="shared" si="3"/>
        <v>15</v>
      </c>
    </row>
    <row r="33" spans="1:20" ht="15.6" hidden="1" x14ac:dyDescent="0.45">
      <c r="A33" s="1">
        <v>31</v>
      </c>
      <c r="B33" s="6" t="s">
        <v>67</v>
      </c>
      <c r="C33" s="6" t="s">
        <v>68</v>
      </c>
      <c r="D33" s="6" t="s">
        <v>41</v>
      </c>
      <c r="E33" s="6" t="s">
        <v>42</v>
      </c>
      <c r="F33" s="2" t="s">
        <v>39</v>
      </c>
      <c r="G33" s="2" t="s">
        <v>18</v>
      </c>
      <c r="H33" s="2" t="s">
        <v>27</v>
      </c>
      <c r="I33" s="2" t="s">
        <v>28</v>
      </c>
      <c r="J33" s="7">
        <v>75</v>
      </c>
      <c r="K33" s="7">
        <v>80</v>
      </c>
      <c r="L33" s="7">
        <v>82</v>
      </c>
      <c r="M33" s="7">
        <v>75</v>
      </c>
      <c r="N33" s="7">
        <v>71</v>
      </c>
      <c r="O33" s="11">
        <f t="shared" si="0"/>
        <v>78</v>
      </c>
      <c r="R33" s="14">
        <f t="shared" si="1"/>
        <v>15.850000000000001</v>
      </c>
      <c r="S33" s="14">
        <f t="shared" si="2"/>
        <v>47.95</v>
      </c>
      <c r="T33" s="14">
        <f t="shared" si="3"/>
        <v>14.200000000000001</v>
      </c>
    </row>
    <row r="34" spans="1:20" ht="15.6" x14ac:dyDescent="0.45">
      <c r="A34" s="1">
        <v>32</v>
      </c>
      <c r="B34" s="6"/>
      <c r="C34" s="6"/>
      <c r="D34" s="6" t="s">
        <v>41</v>
      </c>
      <c r="E34" s="6" t="s">
        <v>42</v>
      </c>
      <c r="F34" s="2" t="s">
        <v>39</v>
      </c>
      <c r="G34" s="2" t="s">
        <v>18</v>
      </c>
      <c r="H34" s="2" t="s">
        <v>29</v>
      </c>
      <c r="I34" s="2" t="s">
        <v>30</v>
      </c>
      <c r="J34" s="7">
        <v>80</v>
      </c>
      <c r="K34" s="7">
        <v>88</v>
      </c>
      <c r="L34" s="7">
        <v>90</v>
      </c>
      <c r="M34" s="7">
        <v>82</v>
      </c>
      <c r="N34" s="7">
        <v>78</v>
      </c>
      <c r="O34" s="11">
        <f t="shared" si="0"/>
        <v>85</v>
      </c>
      <c r="R34" s="14">
        <f t="shared" si="1"/>
        <v>17.400000000000002</v>
      </c>
      <c r="S34" s="14">
        <f t="shared" si="2"/>
        <v>52.599999999999994</v>
      </c>
      <c r="T34" s="14">
        <f t="shared" si="3"/>
        <v>15.600000000000001</v>
      </c>
    </row>
    <row r="35" spans="1:20" ht="15.6" hidden="1" x14ac:dyDescent="0.45">
      <c r="A35" s="1">
        <v>33</v>
      </c>
      <c r="B35" s="6" t="s">
        <v>69</v>
      </c>
      <c r="C35" s="6" t="s">
        <v>70</v>
      </c>
      <c r="D35" s="6" t="s">
        <v>41</v>
      </c>
      <c r="E35" s="6" t="s">
        <v>42</v>
      </c>
      <c r="F35" s="2" t="s">
        <v>39</v>
      </c>
      <c r="G35" s="2" t="s">
        <v>18</v>
      </c>
      <c r="H35" s="2" t="s">
        <v>31</v>
      </c>
      <c r="I35" s="2" t="s">
        <v>32</v>
      </c>
      <c r="J35" s="7">
        <v>70</v>
      </c>
      <c r="K35" s="7">
        <v>72</v>
      </c>
      <c r="L35" s="7">
        <v>70</v>
      </c>
      <c r="M35" s="7">
        <v>75</v>
      </c>
      <c r="N35" s="7">
        <v>74</v>
      </c>
      <c r="O35" s="11">
        <f t="shared" si="0"/>
        <v>72</v>
      </c>
      <c r="R35" s="14">
        <f t="shared" si="1"/>
        <v>14.45</v>
      </c>
      <c r="S35" s="14">
        <f t="shared" si="2"/>
        <v>42.95</v>
      </c>
      <c r="T35" s="14">
        <f t="shared" si="3"/>
        <v>14.8</v>
      </c>
    </row>
    <row r="36" spans="1:20" ht="15.6" hidden="1" x14ac:dyDescent="0.45">
      <c r="A36" s="1">
        <v>34</v>
      </c>
      <c r="B36" s="6" t="s">
        <v>71</v>
      </c>
      <c r="C36" s="6" t="s">
        <v>72</v>
      </c>
      <c r="D36" s="6" t="s">
        <v>41</v>
      </c>
      <c r="E36" s="6" t="s">
        <v>42</v>
      </c>
      <c r="F36" s="2" t="s">
        <v>39</v>
      </c>
      <c r="G36" s="2" t="s">
        <v>18</v>
      </c>
      <c r="H36" s="2" t="s">
        <v>33</v>
      </c>
      <c r="I36" s="2" t="s">
        <v>34</v>
      </c>
      <c r="J36" s="7">
        <v>85</v>
      </c>
      <c r="K36" s="7">
        <v>90</v>
      </c>
      <c r="L36" s="7">
        <v>92</v>
      </c>
      <c r="M36" s="7">
        <v>96</v>
      </c>
      <c r="N36" s="7">
        <v>80</v>
      </c>
      <c r="O36" s="11">
        <f t="shared" si="0"/>
        <v>90</v>
      </c>
      <c r="R36" s="14">
        <f t="shared" si="1"/>
        <v>18.400000000000002</v>
      </c>
      <c r="S36" s="14">
        <f t="shared" si="2"/>
        <v>55.600000000000009</v>
      </c>
      <c r="T36" s="14">
        <f t="shared" si="3"/>
        <v>16</v>
      </c>
    </row>
    <row r="37" spans="1:20" ht="15.6" x14ac:dyDescent="0.45">
      <c r="A37" s="1">
        <v>35</v>
      </c>
      <c r="B37" s="6"/>
      <c r="C37" s="6"/>
      <c r="D37" s="6" t="s">
        <v>41</v>
      </c>
      <c r="E37" s="6" t="s">
        <v>42</v>
      </c>
      <c r="F37" s="2" t="s">
        <v>39</v>
      </c>
      <c r="G37" s="2" t="s">
        <v>18</v>
      </c>
      <c r="H37" s="2" t="s">
        <v>35</v>
      </c>
      <c r="I37" s="2" t="s">
        <v>36</v>
      </c>
      <c r="J37" s="7">
        <v>85</v>
      </c>
      <c r="K37" s="7">
        <v>86</v>
      </c>
      <c r="L37" s="7">
        <v>82</v>
      </c>
      <c r="M37" s="7">
        <v>85</v>
      </c>
      <c r="N37" s="7">
        <v>80</v>
      </c>
      <c r="O37" s="11">
        <f t="shared" si="0"/>
        <v>83</v>
      </c>
      <c r="R37" s="14">
        <f t="shared" si="1"/>
        <v>16.95</v>
      </c>
      <c r="S37" s="14">
        <f t="shared" si="2"/>
        <v>50.050000000000004</v>
      </c>
      <c r="T37" s="14">
        <f t="shared" si="3"/>
        <v>16</v>
      </c>
    </row>
    <row r="38" spans="1:20" ht="15.6" x14ac:dyDescent="0.45">
      <c r="A38" s="1">
        <v>36</v>
      </c>
      <c r="B38" s="6"/>
      <c r="C38" s="6"/>
      <c r="D38" s="6" t="s">
        <v>41</v>
      </c>
      <c r="E38" s="6" t="s">
        <v>42</v>
      </c>
      <c r="F38" s="2" t="s">
        <v>39</v>
      </c>
      <c r="G38" s="2" t="s">
        <v>37</v>
      </c>
      <c r="H38" s="2" t="s">
        <v>19</v>
      </c>
      <c r="I38" s="2" t="s">
        <v>20</v>
      </c>
      <c r="J38" s="7">
        <v>85</v>
      </c>
      <c r="K38" s="7">
        <v>80</v>
      </c>
      <c r="L38" s="7">
        <v>84</v>
      </c>
      <c r="M38" s="7">
        <v>80</v>
      </c>
      <c r="N38" s="7">
        <v>82</v>
      </c>
      <c r="O38" s="11">
        <f t="shared" si="0"/>
        <v>83</v>
      </c>
      <c r="R38" s="14">
        <f t="shared" si="1"/>
        <v>16.2</v>
      </c>
      <c r="S38" s="14">
        <f t="shared" si="2"/>
        <v>49.400000000000006</v>
      </c>
      <c r="T38" s="14">
        <f t="shared" si="3"/>
        <v>16.400000000000002</v>
      </c>
    </row>
    <row r="39" spans="1:20" ht="15.6" x14ac:dyDescent="0.45">
      <c r="A39" s="1">
        <v>37</v>
      </c>
      <c r="B39" s="6"/>
      <c r="C39" s="6"/>
      <c r="D39" s="6" t="s">
        <v>41</v>
      </c>
      <c r="E39" s="6" t="s">
        <v>42</v>
      </c>
      <c r="F39" s="2" t="s">
        <v>39</v>
      </c>
      <c r="G39" s="2" t="s">
        <v>37</v>
      </c>
      <c r="H39" s="2" t="s">
        <v>21</v>
      </c>
      <c r="I39" s="2" t="s">
        <v>22</v>
      </c>
      <c r="J39" s="7">
        <v>80</v>
      </c>
      <c r="K39" s="7">
        <v>85</v>
      </c>
      <c r="L39" s="7">
        <v>80</v>
      </c>
      <c r="M39" s="7">
        <v>80</v>
      </c>
      <c r="N39" s="7">
        <v>75</v>
      </c>
      <c r="O39" s="11">
        <f t="shared" si="0"/>
        <v>80</v>
      </c>
      <c r="R39" s="14">
        <f t="shared" si="1"/>
        <v>16.5</v>
      </c>
      <c r="S39" s="14">
        <f t="shared" si="2"/>
        <v>48.5</v>
      </c>
      <c r="T39" s="14">
        <f t="shared" si="3"/>
        <v>15</v>
      </c>
    </row>
    <row r="40" spans="1:20" ht="15.6" hidden="1" x14ac:dyDescent="0.45">
      <c r="A40" s="1">
        <v>38</v>
      </c>
      <c r="B40" s="6" t="s">
        <v>73</v>
      </c>
      <c r="C40" s="6" t="s">
        <v>74</v>
      </c>
      <c r="D40" s="6" t="s">
        <v>41</v>
      </c>
      <c r="E40" s="6" t="s">
        <v>42</v>
      </c>
      <c r="F40" s="2" t="s">
        <v>39</v>
      </c>
      <c r="G40" s="2" t="s">
        <v>37</v>
      </c>
      <c r="H40" s="2" t="s">
        <v>23</v>
      </c>
      <c r="I40" s="2" t="s">
        <v>24</v>
      </c>
      <c r="J40" s="7">
        <v>85</v>
      </c>
      <c r="K40" s="7">
        <v>92</v>
      </c>
      <c r="L40" s="7">
        <v>92</v>
      </c>
      <c r="M40" s="7">
        <v>90</v>
      </c>
      <c r="N40" s="7">
        <v>88</v>
      </c>
      <c r="O40" s="11">
        <f t="shared" si="0"/>
        <v>90</v>
      </c>
      <c r="R40" s="14">
        <f t="shared" si="1"/>
        <v>18.3</v>
      </c>
      <c r="S40" s="14">
        <f t="shared" si="2"/>
        <v>54.900000000000006</v>
      </c>
      <c r="T40" s="14">
        <f t="shared" si="3"/>
        <v>17.600000000000001</v>
      </c>
    </row>
    <row r="41" spans="1:20" ht="15.6" hidden="1" x14ac:dyDescent="0.45">
      <c r="A41" s="1">
        <v>39</v>
      </c>
      <c r="B41" s="10" t="s">
        <v>75</v>
      </c>
      <c r="C41" s="10" t="s">
        <v>76</v>
      </c>
      <c r="D41" s="10" t="s">
        <v>41</v>
      </c>
      <c r="E41" s="10" t="s">
        <v>77</v>
      </c>
      <c r="F41" s="2" t="s">
        <v>39</v>
      </c>
      <c r="G41" s="2" t="s">
        <v>37</v>
      </c>
      <c r="H41" s="2" t="s">
        <v>25</v>
      </c>
      <c r="I41" s="2" t="s">
        <v>26</v>
      </c>
      <c r="J41" s="7">
        <v>70</v>
      </c>
      <c r="K41" s="7">
        <v>80</v>
      </c>
      <c r="L41" s="7">
        <v>75</v>
      </c>
      <c r="M41" s="7">
        <v>75</v>
      </c>
      <c r="N41" s="7">
        <v>74</v>
      </c>
      <c r="O41" s="11">
        <f t="shared" si="0"/>
        <v>75</v>
      </c>
      <c r="R41" s="14">
        <f t="shared" si="1"/>
        <v>15.5</v>
      </c>
      <c r="S41" s="14">
        <f t="shared" si="2"/>
        <v>45.5</v>
      </c>
      <c r="T41" s="14">
        <f t="shared" si="3"/>
        <v>14.8</v>
      </c>
    </row>
    <row r="42" spans="1:20" ht="15.6" hidden="1" x14ac:dyDescent="0.45">
      <c r="A42" s="1">
        <v>40</v>
      </c>
      <c r="B42" s="10" t="s">
        <v>78</v>
      </c>
      <c r="C42" s="10" t="s">
        <v>79</v>
      </c>
      <c r="D42" s="10" t="s">
        <v>41</v>
      </c>
      <c r="E42" s="10" t="s">
        <v>77</v>
      </c>
      <c r="F42" s="2" t="s">
        <v>39</v>
      </c>
      <c r="G42" s="2" t="s">
        <v>37</v>
      </c>
      <c r="H42" s="2" t="s">
        <v>27</v>
      </c>
      <c r="I42" s="2" t="s">
        <v>28</v>
      </c>
      <c r="J42" s="7">
        <v>70</v>
      </c>
      <c r="K42" s="7">
        <v>72</v>
      </c>
      <c r="L42" s="7">
        <v>68</v>
      </c>
      <c r="M42" s="7">
        <v>68</v>
      </c>
      <c r="N42" s="7">
        <v>75</v>
      </c>
      <c r="O42" s="11">
        <f t="shared" si="0"/>
        <v>70</v>
      </c>
      <c r="R42" s="14">
        <f t="shared" si="1"/>
        <v>14.000000000000002</v>
      </c>
      <c r="S42" s="14">
        <f t="shared" si="2"/>
        <v>41.2</v>
      </c>
      <c r="T42" s="14">
        <f t="shared" si="3"/>
        <v>15</v>
      </c>
    </row>
    <row r="43" spans="1:20" ht="15.6" x14ac:dyDescent="0.45">
      <c r="A43" s="1">
        <v>41</v>
      </c>
      <c r="B43" s="10"/>
      <c r="C43" s="10"/>
      <c r="D43" s="10" t="s">
        <v>41</v>
      </c>
      <c r="E43" s="10" t="s">
        <v>77</v>
      </c>
      <c r="F43" s="2" t="s">
        <v>39</v>
      </c>
      <c r="G43" s="2" t="s">
        <v>37</v>
      </c>
      <c r="H43" s="2" t="s">
        <v>29</v>
      </c>
      <c r="I43" s="2" t="s">
        <v>30</v>
      </c>
      <c r="J43" s="7">
        <v>85</v>
      </c>
      <c r="K43" s="7">
        <v>90</v>
      </c>
      <c r="L43" s="7">
        <v>90</v>
      </c>
      <c r="M43" s="7">
        <v>92</v>
      </c>
      <c r="N43" s="7">
        <v>80</v>
      </c>
      <c r="O43" s="11">
        <f t="shared" si="0"/>
        <v>88</v>
      </c>
      <c r="R43" s="14">
        <f t="shared" si="1"/>
        <v>18.100000000000001</v>
      </c>
      <c r="S43" s="14">
        <f t="shared" si="2"/>
        <v>54.3</v>
      </c>
      <c r="T43" s="14">
        <f t="shared" si="3"/>
        <v>16</v>
      </c>
    </row>
    <row r="44" spans="1:20" ht="15.6" hidden="1" x14ac:dyDescent="0.45">
      <c r="A44" s="1">
        <v>42</v>
      </c>
      <c r="B44" s="10" t="s">
        <v>80</v>
      </c>
      <c r="C44" s="10" t="s">
        <v>81</v>
      </c>
      <c r="D44" s="10" t="s">
        <v>41</v>
      </c>
      <c r="E44" s="10" t="s">
        <v>77</v>
      </c>
      <c r="F44" s="2" t="s">
        <v>39</v>
      </c>
      <c r="G44" s="2" t="s">
        <v>37</v>
      </c>
      <c r="H44" s="2" t="s">
        <v>31</v>
      </c>
      <c r="I44" s="2" t="s">
        <v>32</v>
      </c>
      <c r="J44" s="7">
        <v>70</v>
      </c>
      <c r="K44" s="7">
        <v>82</v>
      </c>
      <c r="L44" s="7">
        <v>77</v>
      </c>
      <c r="M44" s="7">
        <v>74</v>
      </c>
      <c r="N44" s="7">
        <v>70</v>
      </c>
      <c r="O44" s="11">
        <f t="shared" si="0"/>
        <v>75</v>
      </c>
      <c r="R44" s="14">
        <f t="shared" si="1"/>
        <v>15.75</v>
      </c>
      <c r="S44" s="14">
        <f t="shared" si="2"/>
        <v>46.25</v>
      </c>
      <c r="T44" s="14">
        <f t="shared" si="3"/>
        <v>14</v>
      </c>
    </row>
    <row r="45" spans="1:20" ht="15.6" hidden="1" x14ac:dyDescent="0.45">
      <c r="A45" s="1">
        <v>43</v>
      </c>
      <c r="B45" s="10" t="s">
        <v>82</v>
      </c>
      <c r="C45" s="10" t="s">
        <v>83</v>
      </c>
      <c r="D45" s="10" t="s">
        <v>41</v>
      </c>
      <c r="E45" s="10" t="s">
        <v>77</v>
      </c>
      <c r="F45" s="2"/>
      <c r="G45" s="2"/>
      <c r="H45" s="2"/>
      <c r="I45" s="2"/>
      <c r="J45" s="7">
        <v>70</v>
      </c>
      <c r="K45" s="7">
        <v>80</v>
      </c>
      <c r="L45" s="7">
        <v>74</v>
      </c>
      <c r="M45" s="7">
        <v>76</v>
      </c>
      <c r="N45" s="7">
        <v>72</v>
      </c>
      <c r="O45" s="11">
        <f t="shared" si="0"/>
        <v>74</v>
      </c>
      <c r="R45" s="14">
        <f t="shared" si="1"/>
        <v>15.5</v>
      </c>
      <c r="S45" s="14">
        <f t="shared" si="2"/>
        <v>45.300000000000004</v>
      </c>
      <c r="T45" s="14">
        <f t="shared" si="3"/>
        <v>14.4</v>
      </c>
    </row>
    <row r="46" spans="1:20" ht="15.6" x14ac:dyDescent="0.45">
      <c r="A46" s="1">
        <v>44</v>
      </c>
      <c r="B46" s="10"/>
      <c r="C46" s="10"/>
      <c r="D46" s="10" t="s">
        <v>41</v>
      </c>
      <c r="E46" s="10" t="s">
        <v>77</v>
      </c>
      <c r="F46" s="2"/>
      <c r="G46" s="2"/>
      <c r="H46" s="2"/>
      <c r="I46" s="2"/>
      <c r="J46" s="7">
        <v>85</v>
      </c>
      <c r="K46" s="7">
        <v>88</v>
      </c>
      <c r="L46" s="7">
        <v>87</v>
      </c>
      <c r="M46" s="7">
        <v>88</v>
      </c>
      <c r="N46" s="7">
        <v>78</v>
      </c>
      <c r="O46" s="11">
        <f t="shared" si="0"/>
        <v>85</v>
      </c>
      <c r="R46" s="14">
        <f t="shared" si="1"/>
        <v>17.550000000000004</v>
      </c>
      <c r="S46" s="14">
        <f t="shared" si="2"/>
        <v>52.45</v>
      </c>
      <c r="T46" s="14">
        <f t="shared" si="3"/>
        <v>15.600000000000001</v>
      </c>
    </row>
    <row r="47" spans="1:20" ht="15.6" hidden="1" x14ac:dyDescent="0.45">
      <c r="A47" s="1">
        <v>45</v>
      </c>
      <c r="B47" s="10" t="s">
        <v>84</v>
      </c>
      <c r="C47" s="10" t="s">
        <v>85</v>
      </c>
      <c r="D47" s="10" t="s">
        <v>41</v>
      </c>
      <c r="E47" s="10" t="s">
        <v>77</v>
      </c>
      <c r="F47" s="2"/>
      <c r="G47" s="2"/>
      <c r="H47" s="2"/>
      <c r="I47" s="2"/>
      <c r="J47" s="7">
        <v>75</v>
      </c>
      <c r="K47" s="7">
        <v>80</v>
      </c>
      <c r="L47" s="7">
        <v>80</v>
      </c>
      <c r="M47" s="7">
        <v>78</v>
      </c>
      <c r="N47" s="7">
        <v>74</v>
      </c>
      <c r="O47" s="11">
        <f t="shared" si="0"/>
        <v>78</v>
      </c>
      <c r="R47" s="14">
        <f t="shared" si="1"/>
        <v>15.9</v>
      </c>
      <c r="S47" s="14">
        <f t="shared" si="2"/>
        <v>47.7</v>
      </c>
      <c r="T47" s="14">
        <f t="shared" si="3"/>
        <v>14.8</v>
      </c>
    </row>
    <row r="48" spans="1:20" ht="15.6" x14ac:dyDescent="0.45">
      <c r="A48" s="1">
        <v>46</v>
      </c>
      <c r="B48" s="10"/>
      <c r="C48" s="10"/>
      <c r="D48" s="10" t="s">
        <v>41</v>
      </c>
      <c r="E48" s="10" t="s">
        <v>77</v>
      </c>
      <c r="F48" s="2"/>
      <c r="G48" s="2"/>
      <c r="H48" s="2"/>
      <c r="I48" s="2"/>
      <c r="J48" s="7">
        <v>80</v>
      </c>
      <c r="K48" s="7">
        <v>90</v>
      </c>
      <c r="L48" s="7">
        <v>91</v>
      </c>
      <c r="M48" s="7">
        <v>87</v>
      </c>
      <c r="N48" s="7">
        <v>78</v>
      </c>
      <c r="O48" s="11">
        <f t="shared" si="0"/>
        <v>86</v>
      </c>
      <c r="R48" s="14">
        <f t="shared" si="1"/>
        <v>17.900000000000002</v>
      </c>
      <c r="S48" s="14">
        <f t="shared" si="2"/>
        <v>53.899999999999991</v>
      </c>
      <c r="T48" s="14">
        <f t="shared" si="3"/>
        <v>15.600000000000001</v>
      </c>
    </row>
    <row r="49" spans="1:20" ht="15.6" hidden="1" x14ac:dyDescent="0.45">
      <c r="A49" s="1">
        <v>47</v>
      </c>
      <c r="B49" s="10" t="s">
        <v>86</v>
      </c>
      <c r="C49" s="10" t="s">
        <v>87</v>
      </c>
      <c r="D49" s="10" t="s">
        <v>41</v>
      </c>
      <c r="E49" s="10" t="s">
        <v>77</v>
      </c>
      <c r="F49" s="3"/>
      <c r="G49" s="3"/>
      <c r="H49" s="3"/>
      <c r="I49" s="3"/>
      <c r="J49" s="7">
        <v>85</v>
      </c>
      <c r="K49" s="7">
        <v>92</v>
      </c>
      <c r="L49" s="7">
        <v>92</v>
      </c>
      <c r="M49" s="7">
        <v>92</v>
      </c>
      <c r="N49" s="7">
        <v>85</v>
      </c>
      <c r="O49" s="11">
        <f t="shared" si="0"/>
        <v>90</v>
      </c>
      <c r="R49" s="14">
        <f t="shared" si="1"/>
        <v>18.400000000000002</v>
      </c>
      <c r="S49" s="14">
        <f t="shared" si="2"/>
        <v>55.2</v>
      </c>
      <c r="T49" s="14">
        <f t="shared" si="3"/>
        <v>17</v>
      </c>
    </row>
    <row r="50" spans="1:20" ht="15.6" hidden="1" x14ac:dyDescent="0.45">
      <c r="A50" s="1">
        <v>48</v>
      </c>
      <c r="B50" s="10" t="s">
        <v>88</v>
      </c>
      <c r="C50" s="10" t="s">
        <v>89</v>
      </c>
      <c r="D50" s="10" t="s">
        <v>41</v>
      </c>
      <c r="E50" s="10" t="s">
        <v>77</v>
      </c>
      <c r="F50" s="3"/>
      <c r="G50" s="3"/>
      <c r="H50" s="3"/>
      <c r="I50" s="3"/>
      <c r="J50" s="7">
        <v>70</v>
      </c>
      <c r="K50" s="7">
        <v>72</v>
      </c>
      <c r="L50" s="7">
        <v>76</v>
      </c>
      <c r="M50" s="7">
        <v>72</v>
      </c>
      <c r="N50" s="7">
        <v>70</v>
      </c>
      <c r="O50" s="11">
        <f t="shared" si="0"/>
        <v>73</v>
      </c>
      <c r="R50" s="14">
        <f t="shared" si="1"/>
        <v>14.6</v>
      </c>
      <c r="S50" s="14">
        <f t="shared" si="2"/>
        <v>44.600000000000009</v>
      </c>
      <c r="T50" s="14">
        <f t="shared" si="3"/>
        <v>14</v>
      </c>
    </row>
    <row r="51" spans="1:20" ht="15.6" x14ac:dyDescent="0.45">
      <c r="A51" s="1">
        <v>49</v>
      </c>
      <c r="B51" s="10"/>
      <c r="C51" s="10"/>
      <c r="D51" s="10" t="s">
        <v>41</v>
      </c>
      <c r="E51" s="10" t="s">
        <v>77</v>
      </c>
      <c r="F51" s="3"/>
      <c r="G51" s="3"/>
      <c r="H51" s="3"/>
      <c r="I51" s="3"/>
      <c r="J51" s="7">
        <v>80</v>
      </c>
      <c r="K51" s="7">
        <v>88</v>
      </c>
      <c r="L51" s="7">
        <v>90</v>
      </c>
      <c r="M51" s="7">
        <v>87</v>
      </c>
      <c r="N51" s="7">
        <v>80</v>
      </c>
      <c r="O51" s="11">
        <f t="shared" si="0"/>
        <v>86</v>
      </c>
      <c r="R51" s="14">
        <f t="shared" si="1"/>
        <v>17.650000000000002</v>
      </c>
      <c r="S51" s="14">
        <f t="shared" si="2"/>
        <v>53.349999999999994</v>
      </c>
      <c r="T51" s="14">
        <f t="shared" si="3"/>
        <v>16</v>
      </c>
    </row>
    <row r="52" spans="1:20" ht="15.6" x14ac:dyDescent="0.45">
      <c r="A52" s="1">
        <v>50</v>
      </c>
      <c r="B52" s="10"/>
      <c r="C52" s="10"/>
      <c r="D52" s="10" t="s">
        <v>41</v>
      </c>
      <c r="E52" s="10" t="s">
        <v>77</v>
      </c>
      <c r="F52" s="3"/>
      <c r="G52" s="3"/>
      <c r="H52" s="3"/>
      <c r="I52" s="3"/>
      <c r="J52" s="7">
        <v>80</v>
      </c>
      <c r="K52" s="7">
        <v>85</v>
      </c>
      <c r="L52" s="7">
        <v>87</v>
      </c>
      <c r="M52" s="7">
        <v>87</v>
      </c>
      <c r="N52" s="7">
        <v>80</v>
      </c>
      <c r="O52" s="11">
        <f t="shared" si="0"/>
        <v>85</v>
      </c>
      <c r="R52" s="14">
        <f t="shared" si="1"/>
        <v>17.200000000000003</v>
      </c>
      <c r="S52" s="14">
        <f t="shared" si="2"/>
        <v>52</v>
      </c>
      <c r="T52" s="14">
        <f t="shared" si="3"/>
        <v>16</v>
      </c>
    </row>
    <row r="53" spans="1:20" ht="15.6" x14ac:dyDescent="0.45">
      <c r="A53" s="1">
        <v>51</v>
      </c>
      <c r="B53" s="10"/>
      <c r="C53" s="10"/>
      <c r="D53" s="10" t="s">
        <v>41</v>
      </c>
      <c r="E53" s="10" t="s">
        <v>77</v>
      </c>
      <c r="F53" s="3"/>
      <c r="G53" s="3"/>
      <c r="H53" s="3"/>
      <c r="I53" s="3"/>
      <c r="J53" s="7">
        <v>70</v>
      </c>
      <c r="K53" s="7">
        <v>83</v>
      </c>
      <c r="L53" s="7">
        <v>82</v>
      </c>
      <c r="M53" s="7">
        <v>81</v>
      </c>
      <c r="N53" s="7">
        <v>80</v>
      </c>
      <c r="O53" s="11">
        <f t="shared" si="0"/>
        <v>80</v>
      </c>
      <c r="R53" s="14">
        <f t="shared" si="1"/>
        <v>16.450000000000003</v>
      </c>
      <c r="S53" s="14">
        <f t="shared" si="2"/>
        <v>49.15</v>
      </c>
      <c r="T53" s="14">
        <f t="shared" si="3"/>
        <v>16</v>
      </c>
    </row>
    <row r="54" spans="1:20" ht="15.6" hidden="1" x14ac:dyDescent="0.45">
      <c r="A54" s="1">
        <v>52</v>
      </c>
      <c r="B54" s="10" t="s">
        <v>90</v>
      </c>
      <c r="C54" s="10" t="s">
        <v>91</v>
      </c>
      <c r="D54" s="10" t="s">
        <v>41</v>
      </c>
      <c r="E54" s="10" t="s">
        <v>77</v>
      </c>
      <c r="F54" s="7"/>
      <c r="G54" s="7"/>
      <c r="H54" s="7"/>
      <c r="I54" s="7"/>
      <c r="J54" s="7">
        <v>65</v>
      </c>
      <c r="K54" s="7">
        <v>70</v>
      </c>
      <c r="L54" s="7">
        <v>65</v>
      </c>
      <c r="M54" s="7">
        <v>62</v>
      </c>
      <c r="N54" s="7">
        <v>63</v>
      </c>
      <c r="O54" s="11">
        <f t="shared" si="0"/>
        <v>65</v>
      </c>
      <c r="R54" s="14">
        <f t="shared" si="1"/>
        <v>13.35</v>
      </c>
      <c r="S54" s="14">
        <f t="shared" si="2"/>
        <v>39.049999999999997</v>
      </c>
      <c r="T54" s="14">
        <f t="shared" si="3"/>
        <v>12.600000000000001</v>
      </c>
    </row>
    <row r="55" spans="1:20" ht="15.6" x14ac:dyDescent="0.45">
      <c r="A55" s="1">
        <v>53</v>
      </c>
      <c r="B55" s="10"/>
      <c r="C55" s="10"/>
      <c r="D55" s="10" t="s">
        <v>41</v>
      </c>
      <c r="E55" s="10" t="s">
        <v>77</v>
      </c>
      <c r="F55" s="7"/>
      <c r="G55" s="7"/>
      <c r="H55" s="7"/>
      <c r="I55" s="7"/>
      <c r="J55" s="7">
        <v>80</v>
      </c>
      <c r="K55" s="7">
        <v>85</v>
      </c>
      <c r="L55" s="7">
        <v>83</v>
      </c>
      <c r="M55" s="7">
        <v>84</v>
      </c>
      <c r="N55" s="7">
        <v>71</v>
      </c>
      <c r="O55" s="11">
        <f t="shared" si="0"/>
        <v>81</v>
      </c>
      <c r="R55" s="14">
        <f t="shared" si="1"/>
        <v>16.850000000000001</v>
      </c>
      <c r="S55" s="14">
        <f t="shared" si="2"/>
        <v>50.150000000000006</v>
      </c>
      <c r="T55" s="14">
        <f t="shared" si="3"/>
        <v>14.200000000000001</v>
      </c>
    </row>
    <row r="56" spans="1:20" ht="15.6" x14ac:dyDescent="0.45">
      <c r="A56" s="1">
        <v>54</v>
      </c>
      <c r="B56" s="10"/>
      <c r="C56" s="10"/>
      <c r="D56" s="10" t="s">
        <v>41</v>
      </c>
      <c r="E56" s="10" t="s">
        <v>77</v>
      </c>
      <c r="F56" s="7"/>
      <c r="G56" s="7"/>
      <c r="H56" s="7"/>
      <c r="I56" s="7"/>
      <c r="J56" s="7">
        <v>85</v>
      </c>
      <c r="K56" s="7">
        <v>90</v>
      </c>
      <c r="L56" s="7">
        <v>85</v>
      </c>
      <c r="M56" s="7">
        <v>89</v>
      </c>
      <c r="N56" s="7">
        <v>87</v>
      </c>
      <c r="O56" s="11">
        <f t="shared" si="0"/>
        <v>87</v>
      </c>
      <c r="R56" s="14">
        <f t="shared" si="1"/>
        <v>17.7</v>
      </c>
      <c r="S56" s="14">
        <f t="shared" si="2"/>
        <v>52.1</v>
      </c>
      <c r="T56" s="14">
        <f t="shared" si="3"/>
        <v>17.400000000000002</v>
      </c>
    </row>
    <row r="57" spans="1:20" ht="15.6" hidden="1" x14ac:dyDescent="0.45">
      <c r="A57" s="1">
        <v>55</v>
      </c>
      <c r="B57" s="10" t="s">
        <v>92</v>
      </c>
      <c r="C57" s="10" t="s">
        <v>93</v>
      </c>
      <c r="D57" s="10" t="s">
        <v>41</v>
      </c>
      <c r="E57" s="10" t="s">
        <v>77</v>
      </c>
      <c r="F57" s="7"/>
      <c r="G57" s="7"/>
      <c r="H57" s="7"/>
      <c r="I57" s="7"/>
      <c r="J57" s="7">
        <v>85</v>
      </c>
      <c r="K57" s="7">
        <v>95</v>
      </c>
      <c r="L57" s="7">
        <v>92</v>
      </c>
      <c r="M57" s="7">
        <v>95</v>
      </c>
      <c r="N57" s="7">
        <v>89</v>
      </c>
      <c r="O57" s="11">
        <f t="shared" si="0"/>
        <v>92</v>
      </c>
      <c r="R57" s="14">
        <f t="shared" si="1"/>
        <v>18.850000000000001</v>
      </c>
      <c r="S57" s="14">
        <f t="shared" si="2"/>
        <v>55.95</v>
      </c>
      <c r="T57" s="14">
        <f t="shared" si="3"/>
        <v>17.8</v>
      </c>
    </row>
    <row r="58" spans="1:20" ht="15.6" hidden="1" x14ac:dyDescent="0.45">
      <c r="A58" s="1">
        <v>56</v>
      </c>
      <c r="B58" s="10" t="s">
        <v>94</v>
      </c>
      <c r="C58" s="10" t="s">
        <v>95</v>
      </c>
      <c r="D58" s="10" t="s">
        <v>41</v>
      </c>
      <c r="E58" s="10" t="s">
        <v>77</v>
      </c>
      <c r="F58" s="7"/>
      <c r="G58" s="7"/>
      <c r="H58" s="7"/>
      <c r="I58" s="7"/>
      <c r="J58" s="7">
        <v>85</v>
      </c>
      <c r="K58" s="7">
        <v>94</v>
      </c>
      <c r="L58" s="7">
        <v>92</v>
      </c>
      <c r="M58" s="7">
        <v>94</v>
      </c>
      <c r="N58" s="7">
        <v>85</v>
      </c>
      <c r="O58" s="11">
        <f t="shared" si="0"/>
        <v>91</v>
      </c>
      <c r="R58" s="14">
        <f t="shared" si="1"/>
        <v>18.7</v>
      </c>
      <c r="S58" s="14">
        <f t="shared" si="2"/>
        <v>55.7</v>
      </c>
      <c r="T58" s="14">
        <f t="shared" si="3"/>
        <v>17</v>
      </c>
    </row>
    <row r="59" spans="1:20" ht="15.6" x14ac:dyDescent="0.45">
      <c r="A59" s="1">
        <v>57</v>
      </c>
      <c r="B59" s="10"/>
      <c r="C59" s="10"/>
      <c r="D59" s="10" t="s">
        <v>41</v>
      </c>
      <c r="E59" s="10" t="s">
        <v>77</v>
      </c>
      <c r="F59" s="7"/>
      <c r="G59" s="7"/>
      <c r="H59" s="7"/>
      <c r="I59" s="7"/>
      <c r="J59" s="7">
        <v>85</v>
      </c>
      <c r="K59" s="7">
        <v>83</v>
      </c>
      <c r="L59" s="7">
        <v>80</v>
      </c>
      <c r="M59" s="7">
        <v>78</v>
      </c>
      <c r="N59" s="7">
        <v>80</v>
      </c>
      <c r="O59" s="11">
        <f t="shared" si="0"/>
        <v>80</v>
      </c>
      <c r="R59" s="14">
        <f t="shared" si="1"/>
        <v>16.200000000000003</v>
      </c>
      <c r="S59" s="14">
        <f t="shared" si="2"/>
        <v>48</v>
      </c>
      <c r="T59" s="14">
        <f t="shared" si="3"/>
        <v>16</v>
      </c>
    </row>
    <row r="60" spans="1:20" ht="15.6" x14ac:dyDescent="0.45">
      <c r="A60" s="1">
        <v>58</v>
      </c>
      <c r="B60" s="10"/>
      <c r="C60" s="10"/>
      <c r="D60" s="10" t="s">
        <v>41</v>
      </c>
      <c r="E60" s="10" t="s">
        <v>77</v>
      </c>
      <c r="F60" s="7"/>
      <c r="G60" s="7"/>
      <c r="H60" s="7"/>
      <c r="I60" s="7"/>
      <c r="J60" s="7">
        <v>80</v>
      </c>
      <c r="K60" s="7">
        <v>83</v>
      </c>
      <c r="L60" s="7">
        <v>85</v>
      </c>
      <c r="M60" s="7">
        <v>90</v>
      </c>
      <c r="N60" s="7">
        <v>75</v>
      </c>
      <c r="O60" s="11">
        <f t="shared" si="0"/>
        <v>83</v>
      </c>
      <c r="R60" s="14">
        <f t="shared" si="1"/>
        <v>17.05</v>
      </c>
      <c r="S60" s="14">
        <f t="shared" si="2"/>
        <v>51.55</v>
      </c>
      <c r="T60" s="14">
        <f t="shared" si="3"/>
        <v>15</v>
      </c>
    </row>
    <row r="61" spans="1:20" ht="15.6" x14ac:dyDescent="0.45">
      <c r="A61" s="1">
        <v>59</v>
      </c>
      <c r="B61" s="10"/>
      <c r="C61" s="10"/>
      <c r="D61" s="10" t="s">
        <v>41</v>
      </c>
      <c r="E61" s="10" t="s">
        <v>77</v>
      </c>
      <c r="F61" s="7"/>
      <c r="G61" s="7"/>
      <c r="H61" s="7"/>
      <c r="I61" s="7"/>
      <c r="J61" s="7">
        <v>85</v>
      </c>
      <c r="K61" s="7">
        <v>90</v>
      </c>
      <c r="L61" s="7">
        <v>88</v>
      </c>
      <c r="M61" s="7">
        <v>90</v>
      </c>
      <c r="N61" s="7">
        <v>78</v>
      </c>
      <c r="O61" s="11">
        <f t="shared" si="0"/>
        <v>86</v>
      </c>
      <c r="R61" s="14">
        <f t="shared" si="1"/>
        <v>17.899999999999999</v>
      </c>
      <c r="S61" s="14">
        <f t="shared" si="2"/>
        <v>53.300000000000004</v>
      </c>
      <c r="T61" s="14">
        <f t="shared" si="3"/>
        <v>15.600000000000001</v>
      </c>
    </row>
    <row r="62" spans="1:20" ht="15.6" hidden="1" x14ac:dyDescent="0.45">
      <c r="A62" s="1">
        <v>60</v>
      </c>
      <c r="B62" s="10" t="s">
        <v>96</v>
      </c>
      <c r="C62" s="10" t="s">
        <v>97</v>
      </c>
      <c r="D62" s="10" t="s">
        <v>41</v>
      </c>
      <c r="E62" s="10" t="s">
        <v>77</v>
      </c>
      <c r="F62" s="7"/>
      <c r="G62" s="7"/>
      <c r="H62" s="7"/>
      <c r="I62" s="7"/>
      <c r="J62" s="7">
        <v>85</v>
      </c>
      <c r="K62" s="7">
        <v>92</v>
      </c>
      <c r="L62" s="7">
        <v>92</v>
      </c>
      <c r="M62" s="7">
        <v>97</v>
      </c>
      <c r="N62" s="7">
        <v>88</v>
      </c>
      <c r="O62" s="11">
        <f t="shared" si="0"/>
        <v>92</v>
      </c>
      <c r="R62" s="14">
        <f t="shared" si="1"/>
        <v>18.650000000000002</v>
      </c>
      <c r="S62" s="14">
        <f t="shared" si="2"/>
        <v>55.95</v>
      </c>
      <c r="T62" s="14">
        <f t="shared" si="3"/>
        <v>17.600000000000001</v>
      </c>
    </row>
    <row r="63" spans="1:20" ht="15.6" x14ac:dyDescent="0.45">
      <c r="A63" s="1">
        <v>61</v>
      </c>
      <c r="B63" s="10"/>
      <c r="C63" s="10"/>
      <c r="D63" s="10" t="s">
        <v>41</v>
      </c>
      <c r="E63" s="10" t="s">
        <v>77</v>
      </c>
      <c r="F63" s="7"/>
      <c r="G63" s="7"/>
      <c r="H63" s="7"/>
      <c r="I63" s="7"/>
      <c r="J63" s="7">
        <v>85</v>
      </c>
      <c r="K63" s="7">
        <v>85</v>
      </c>
      <c r="L63" s="7">
        <v>87</v>
      </c>
      <c r="M63" s="7">
        <v>85</v>
      </c>
      <c r="N63" s="7">
        <v>80</v>
      </c>
      <c r="O63" s="11">
        <f t="shared" si="0"/>
        <v>85</v>
      </c>
      <c r="R63" s="14">
        <f t="shared" si="1"/>
        <v>17.100000000000001</v>
      </c>
      <c r="S63" s="14">
        <f t="shared" si="2"/>
        <v>51.7</v>
      </c>
      <c r="T63" s="14">
        <f t="shared" si="3"/>
        <v>16</v>
      </c>
    </row>
    <row r="64" spans="1:20" ht="15.6" hidden="1" x14ac:dyDescent="0.45">
      <c r="A64" s="1">
        <v>62</v>
      </c>
      <c r="B64" s="10" t="s">
        <v>98</v>
      </c>
      <c r="C64" s="10" t="s">
        <v>99</v>
      </c>
      <c r="D64" s="10" t="s">
        <v>41</v>
      </c>
      <c r="E64" s="10" t="s">
        <v>77</v>
      </c>
      <c r="F64" s="7"/>
      <c r="G64" s="7"/>
      <c r="H64" s="7"/>
      <c r="I64" s="7"/>
      <c r="J64" s="7">
        <v>70</v>
      </c>
      <c r="K64" s="7">
        <v>75</v>
      </c>
      <c r="L64" s="7">
        <v>70</v>
      </c>
      <c r="M64" s="7">
        <v>74</v>
      </c>
      <c r="N64" s="7">
        <v>70</v>
      </c>
      <c r="O64" s="11">
        <f t="shared" si="0"/>
        <v>71</v>
      </c>
      <c r="R64" s="14">
        <f t="shared" si="1"/>
        <v>14.7</v>
      </c>
      <c r="S64" s="14">
        <f t="shared" si="2"/>
        <v>43.1</v>
      </c>
      <c r="T64" s="14">
        <f t="shared" si="3"/>
        <v>14</v>
      </c>
    </row>
    <row r="65" spans="1:20" ht="15.6" x14ac:dyDescent="0.45">
      <c r="A65" s="1">
        <v>63</v>
      </c>
      <c r="B65" s="10"/>
      <c r="C65" s="10"/>
      <c r="D65" s="10" t="s">
        <v>41</v>
      </c>
      <c r="E65" s="10" t="s">
        <v>77</v>
      </c>
      <c r="F65" s="7"/>
      <c r="G65" s="7"/>
      <c r="H65" s="7"/>
      <c r="I65" s="7"/>
      <c r="J65" s="7">
        <v>75</v>
      </c>
      <c r="K65" s="7">
        <v>85</v>
      </c>
      <c r="L65" s="7">
        <v>83</v>
      </c>
      <c r="M65" s="7">
        <v>80</v>
      </c>
      <c r="N65" s="7">
        <v>75</v>
      </c>
      <c r="O65" s="11">
        <f t="shared" si="0"/>
        <v>80</v>
      </c>
      <c r="R65" s="14">
        <f t="shared" si="1"/>
        <v>16.649999999999999</v>
      </c>
      <c r="S65" s="14">
        <f t="shared" si="2"/>
        <v>49.550000000000004</v>
      </c>
      <c r="T65" s="14">
        <f t="shared" si="3"/>
        <v>15</v>
      </c>
    </row>
    <row r="66" spans="1:20" ht="15.6" x14ac:dyDescent="0.45">
      <c r="A66" s="1">
        <v>64</v>
      </c>
      <c r="B66" s="10"/>
      <c r="C66" s="10"/>
      <c r="D66" s="10" t="s">
        <v>41</v>
      </c>
      <c r="E66" s="10" t="s">
        <v>77</v>
      </c>
      <c r="F66" s="7"/>
      <c r="G66" s="7"/>
      <c r="H66" s="7"/>
      <c r="I66" s="7"/>
      <c r="J66" s="7">
        <v>85</v>
      </c>
      <c r="K66" s="7">
        <v>88</v>
      </c>
      <c r="L66" s="7">
        <v>90</v>
      </c>
      <c r="M66" s="7">
        <v>87</v>
      </c>
      <c r="N66" s="7">
        <v>83</v>
      </c>
      <c r="O66" s="11">
        <f t="shared" si="0"/>
        <v>87</v>
      </c>
      <c r="R66" s="14">
        <f t="shared" si="1"/>
        <v>17.650000000000002</v>
      </c>
      <c r="S66" s="14">
        <f t="shared" si="2"/>
        <v>53.349999999999994</v>
      </c>
      <c r="T66" s="14">
        <f t="shared" si="3"/>
        <v>16.600000000000001</v>
      </c>
    </row>
    <row r="67" spans="1:20" ht="15.6" hidden="1" x14ac:dyDescent="0.45">
      <c r="A67" s="1">
        <v>65</v>
      </c>
      <c r="B67" s="10" t="s">
        <v>100</v>
      </c>
      <c r="C67" s="10" t="s">
        <v>101</v>
      </c>
      <c r="D67" s="10" t="s">
        <v>41</v>
      </c>
      <c r="E67" s="10" t="s">
        <v>77</v>
      </c>
      <c r="F67" s="7"/>
      <c r="G67" s="7"/>
      <c r="H67" s="7"/>
      <c r="I67" s="7"/>
      <c r="J67" s="7">
        <v>70</v>
      </c>
      <c r="K67" s="7">
        <v>80</v>
      </c>
      <c r="L67" s="7">
        <v>75</v>
      </c>
      <c r="M67" s="7">
        <v>78</v>
      </c>
      <c r="N67" s="7">
        <v>74</v>
      </c>
      <c r="O67" s="11">
        <f t="shared" ref="O67:O80" si="4">ROUND(J67*0.1+K67*0.1+L67*0.4+M67*0.2+N67*0.2,0)</f>
        <v>75</v>
      </c>
      <c r="R67" s="14">
        <f t="shared" si="1"/>
        <v>15.65</v>
      </c>
      <c r="S67" s="14">
        <f t="shared" si="2"/>
        <v>45.95</v>
      </c>
      <c r="T67" s="14">
        <f t="shared" si="3"/>
        <v>14.8</v>
      </c>
    </row>
    <row r="68" spans="1:20" ht="15.6" x14ac:dyDescent="0.45">
      <c r="A68" s="1">
        <v>66</v>
      </c>
      <c r="B68" s="10"/>
      <c r="C68" s="10"/>
      <c r="D68" s="10" t="s">
        <v>41</v>
      </c>
      <c r="E68" s="10" t="s">
        <v>77</v>
      </c>
      <c r="F68" s="7"/>
      <c r="G68" s="7"/>
      <c r="H68" s="7"/>
      <c r="I68" s="7"/>
      <c r="J68" s="7">
        <v>85</v>
      </c>
      <c r="K68" s="7">
        <v>87</v>
      </c>
      <c r="L68" s="7">
        <v>85</v>
      </c>
      <c r="M68" s="7">
        <v>90</v>
      </c>
      <c r="N68" s="7">
        <v>74</v>
      </c>
      <c r="O68" s="11">
        <f t="shared" si="4"/>
        <v>84</v>
      </c>
      <c r="R68" s="14">
        <f t="shared" ref="R68:R80" si="5">0.1*K68+0.4*L68*0.125+0.2*M68*0.25</f>
        <v>17.450000000000003</v>
      </c>
      <c r="S68" s="14">
        <f t="shared" ref="S68:S80" si="6">K68*0.1+L68*0.4*0.875+M68*0.2*0.75</f>
        <v>51.95</v>
      </c>
      <c r="T68" s="14">
        <f t="shared" ref="T68:T80" si="7">N68*0.2</f>
        <v>14.8</v>
      </c>
    </row>
    <row r="69" spans="1:20" ht="15.6" hidden="1" x14ac:dyDescent="0.45">
      <c r="A69" s="1">
        <v>67</v>
      </c>
      <c r="B69" s="10" t="s">
        <v>102</v>
      </c>
      <c r="C69" s="10" t="s">
        <v>103</v>
      </c>
      <c r="D69" s="10" t="s">
        <v>41</v>
      </c>
      <c r="E69" s="10" t="s">
        <v>77</v>
      </c>
      <c r="F69" s="7"/>
      <c r="G69" s="7"/>
      <c r="H69" s="7"/>
      <c r="I69" s="7"/>
      <c r="J69" s="7">
        <v>70</v>
      </c>
      <c r="K69" s="7">
        <v>80</v>
      </c>
      <c r="L69" s="7">
        <v>78</v>
      </c>
      <c r="M69" s="7">
        <v>70</v>
      </c>
      <c r="N69" s="7">
        <v>72</v>
      </c>
      <c r="O69" s="11">
        <f t="shared" si="4"/>
        <v>75</v>
      </c>
      <c r="R69" s="14">
        <f t="shared" si="5"/>
        <v>15.4</v>
      </c>
      <c r="S69" s="14">
        <f t="shared" si="6"/>
        <v>45.800000000000004</v>
      </c>
      <c r="T69" s="14">
        <f t="shared" si="7"/>
        <v>14.4</v>
      </c>
    </row>
    <row r="70" spans="1:20" ht="15.6" x14ac:dyDescent="0.45">
      <c r="A70" s="1">
        <v>68</v>
      </c>
      <c r="B70" s="10"/>
      <c r="C70" s="10"/>
      <c r="D70" s="10" t="s">
        <v>41</v>
      </c>
      <c r="E70" s="10" t="s">
        <v>77</v>
      </c>
      <c r="F70" s="7"/>
      <c r="G70" s="7"/>
      <c r="H70" s="7"/>
      <c r="I70" s="7"/>
      <c r="J70" s="7">
        <v>75</v>
      </c>
      <c r="K70" s="7">
        <v>82</v>
      </c>
      <c r="L70" s="7">
        <v>85</v>
      </c>
      <c r="M70" s="7">
        <v>82</v>
      </c>
      <c r="N70" s="7">
        <v>75</v>
      </c>
      <c r="O70" s="11">
        <f t="shared" si="4"/>
        <v>81</v>
      </c>
      <c r="R70" s="14">
        <f t="shared" si="5"/>
        <v>16.55</v>
      </c>
      <c r="S70" s="14">
        <f t="shared" si="6"/>
        <v>50.25</v>
      </c>
      <c r="T70" s="14">
        <f t="shared" si="7"/>
        <v>15</v>
      </c>
    </row>
    <row r="71" spans="1:20" ht="15.6" x14ac:dyDescent="0.45">
      <c r="A71" s="1">
        <v>69</v>
      </c>
      <c r="B71" s="10"/>
      <c r="C71" s="10"/>
      <c r="D71" s="10" t="s">
        <v>41</v>
      </c>
      <c r="E71" s="10" t="s">
        <v>77</v>
      </c>
      <c r="F71" s="7"/>
      <c r="G71" s="7"/>
      <c r="H71" s="7"/>
      <c r="I71" s="7"/>
      <c r="J71" s="7">
        <v>85</v>
      </c>
      <c r="K71" s="7">
        <v>87</v>
      </c>
      <c r="L71" s="7">
        <v>88</v>
      </c>
      <c r="M71" s="7">
        <v>85</v>
      </c>
      <c r="N71" s="7">
        <v>78</v>
      </c>
      <c r="O71" s="11">
        <f t="shared" si="4"/>
        <v>85</v>
      </c>
      <c r="R71" s="14">
        <f t="shared" si="5"/>
        <v>17.350000000000001</v>
      </c>
      <c r="S71" s="14">
        <f t="shared" si="6"/>
        <v>52.250000000000007</v>
      </c>
      <c r="T71" s="14">
        <f t="shared" si="7"/>
        <v>15.600000000000001</v>
      </c>
    </row>
    <row r="72" spans="1:20" ht="15.6" hidden="1" x14ac:dyDescent="0.45">
      <c r="A72" s="1">
        <v>70</v>
      </c>
      <c r="B72" s="10" t="s">
        <v>104</v>
      </c>
      <c r="C72" s="10" t="s">
        <v>105</v>
      </c>
      <c r="D72" s="10" t="s">
        <v>41</v>
      </c>
      <c r="E72" s="10" t="s">
        <v>77</v>
      </c>
      <c r="F72" s="7"/>
      <c r="G72" s="7"/>
      <c r="H72" s="7"/>
      <c r="I72" s="7"/>
      <c r="J72" s="7">
        <v>70</v>
      </c>
      <c r="K72" s="7">
        <v>78</v>
      </c>
      <c r="L72" s="7">
        <v>75</v>
      </c>
      <c r="M72" s="7">
        <v>72</v>
      </c>
      <c r="N72" s="7">
        <v>70</v>
      </c>
      <c r="O72" s="11">
        <f t="shared" si="4"/>
        <v>73</v>
      </c>
      <c r="R72" s="14">
        <f t="shared" si="5"/>
        <v>15.15</v>
      </c>
      <c r="S72" s="14">
        <f t="shared" si="6"/>
        <v>44.849999999999994</v>
      </c>
      <c r="T72" s="14">
        <f t="shared" si="7"/>
        <v>14</v>
      </c>
    </row>
    <row r="73" spans="1:20" ht="15.6" x14ac:dyDescent="0.45">
      <c r="A73" s="1">
        <v>71</v>
      </c>
      <c r="B73" s="10"/>
      <c r="C73" s="10"/>
      <c r="D73" s="10" t="s">
        <v>41</v>
      </c>
      <c r="E73" s="10" t="s">
        <v>77</v>
      </c>
      <c r="F73" s="7"/>
      <c r="G73" s="7"/>
      <c r="H73" s="7"/>
      <c r="I73" s="7"/>
      <c r="J73" s="7">
        <v>85</v>
      </c>
      <c r="K73" s="7">
        <v>80</v>
      </c>
      <c r="L73" s="7">
        <v>85</v>
      </c>
      <c r="M73" s="7">
        <v>83</v>
      </c>
      <c r="N73" s="7">
        <v>75</v>
      </c>
      <c r="O73" s="11">
        <f t="shared" si="4"/>
        <v>82</v>
      </c>
      <c r="R73" s="14">
        <f t="shared" si="5"/>
        <v>16.399999999999999</v>
      </c>
      <c r="S73" s="14">
        <f t="shared" si="6"/>
        <v>50.2</v>
      </c>
      <c r="T73" s="14">
        <f t="shared" si="7"/>
        <v>15</v>
      </c>
    </row>
    <row r="74" spans="1:20" ht="15.6" hidden="1" x14ac:dyDescent="0.45">
      <c r="A74" s="1">
        <v>72</v>
      </c>
      <c r="B74" s="10" t="s">
        <v>106</v>
      </c>
      <c r="C74" s="10" t="s">
        <v>107</v>
      </c>
      <c r="D74" s="10" t="s">
        <v>41</v>
      </c>
      <c r="E74" s="10" t="s">
        <v>77</v>
      </c>
      <c r="F74" s="7"/>
      <c r="G74" s="7"/>
      <c r="H74" s="7"/>
      <c r="I74" s="7"/>
      <c r="J74" s="7">
        <v>70</v>
      </c>
      <c r="K74" s="7">
        <v>75</v>
      </c>
      <c r="L74" s="7">
        <v>72</v>
      </c>
      <c r="M74" s="7">
        <v>70</v>
      </c>
      <c r="N74" s="7">
        <v>72</v>
      </c>
      <c r="O74" s="11">
        <f t="shared" si="4"/>
        <v>72</v>
      </c>
      <c r="R74" s="14">
        <f t="shared" si="5"/>
        <v>14.6</v>
      </c>
      <c r="S74" s="14">
        <f t="shared" si="6"/>
        <v>43.2</v>
      </c>
      <c r="T74" s="14">
        <f t="shared" si="7"/>
        <v>14.4</v>
      </c>
    </row>
    <row r="75" spans="1:20" ht="15.6" x14ac:dyDescent="0.45">
      <c r="A75" s="1">
        <v>73</v>
      </c>
      <c r="B75" s="10"/>
      <c r="C75" s="10"/>
      <c r="D75" s="10" t="s">
        <v>41</v>
      </c>
      <c r="E75" s="10" t="s">
        <v>77</v>
      </c>
      <c r="F75" s="7"/>
      <c r="G75" s="7"/>
      <c r="H75" s="7"/>
      <c r="I75" s="7"/>
      <c r="J75" s="7">
        <v>85</v>
      </c>
      <c r="K75" s="7">
        <v>80</v>
      </c>
      <c r="L75" s="7">
        <v>84</v>
      </c>
      <c r="M75" s="7">
        <v>80</v>
      </c>
      <c r="N75" s="7">
        <v>80</v>
      </c>
      <c r="O75" s="11">
        <f t="shared" si="4"/>
        <v>82</v>
      </c>
      <c r="R75" s="14">
        <f t="shared" si="5"/>
        <v>16.2</v>
      </c>
      <c r="S75" s="14">
        <f t="shared" si="6"/>
        <v>49.400000000000006</v>
      </c>
      <c r="T75" s="14">
        <f t="shared" si="7"/>
        <v>16</v>
      </c>
    </row>
    <row r="76" spans="1:20" ht="15.6" x14ac:dyDescent="0.45">
      <c r="A76" s="1">
        <v>74</v>
      </c>
      <c r="B76" s="10"/>
      <c r="C76" s="10"/>
      <c r="D76" s="10" t="s">
        <v>41</v>
      </c>
      <c r="E76" s="10" t="s">
        <v>77</v>
      </c>
      <c r="F76" s="7"/>
      <c r="G76" s="7"/>
      <c r="H76" s="7"/>
      <c r="I76" s="7"/>
      <c r="J76" s="7">
        <v>80</v>
      </c>
      <c r="K76" s="7">
        <v>90</v>
      </c>
      <c r="L76" s="7">
        <v>89</v>
      </c>
      <c r="M76" s="7">
        <v>92</v>
      </c>
      <c r="N76" s="7">
        <v>85</v>
      </c>
      <c r="O76" s="11">
        <f t="shared" si="4"/>
        <v>88</v>
      </c>
      <c r="R76" s="14">
        <f t="shared" si="5"/>
        <v>18.05</v>
      </c>
      <c r="S76" s="14">
        <f t="shared" si="6"/>
        <v>53.95</v>
      </c>
      <c r="T76" s="14">
        <f t="shared" si="7"/>
        <v>17</v>
      </c>
    </row>
    <row r="77" spans="1:20" ht="15.6" hidden="1" x14ac:dyDescent="0.45">
      <c r="A77" s="1">
        <v>75</v>
      </c>
      <c r="B77" s="10" t="s">
        <v>108</v>
      </c>
      <c r="C77" s="10" t="s">
        <v>109</v>
      </c>
      <c r="D77" s="10" t="s">
        <v>41</v>
      </c>
      <c r="E77" s="10" t="s">
        <v>77</v>
      </c>
      <c r="F77" s="7"/>
      <c r="G77" s="7"/>
      <c r="H77" s="7"/>
      <c r="I77" s="7"/>
      <c r="J77" s="7">
        <v>70</v>
      </c>
      <c r="K77" s="7">
        <v>70</v>
      </c>
      <c r="L77" s="7">
        <v>65</v>
      </c>
      <c r="M77" s="7">
        <v>68</v>
      </c>
      <c r="N77" s="7">
        <v>68</v>
      </c>
      <c r="O77" s="11">
        <f t="shared" si="4"/>
        <v>67</v>
      </c>
      <c r="R77" s="14">
        <f t="shared" si="5"/>
        <v>13.65</v>
      </c>
      <c r="S77" s="14">
        <f t="shared" si="6"/>
        <v>39.950000000000003</v>
      </c>
      <c r="T77" s="14">
        <f t="shared" si="7"/>
        <v>13.600000000000001</v>
      </c>
    </row>
    <row r="78" spans="1:20" ht="15.6" x14ac:dyDescent="0.45">
      <c r="A78" s="1">
        <v>76</v>
      </c>
      <c r="B78" s="10"/>
      <c r="C78" s="10"/>
      <c r="D78" s="10" t="s">
        <v>41</v>
      </c>
      <c r="E78" s="10" t="s">
        <v>77</v>
      </c>
      <c r="F78" s="7"/>
      <c r="G78" s="7"/>
      <c r="H78" s="7"/>
      <c r="I78" s="7"/>
      <c r="J78" s="7">
        <v>80</v>
      </c>
      <c r="K78" s="7">
        <v>85</v>
      </c>
      <c r="L78" s="7">
        <v>84</v>
      </c>
      <c r="M78" s="7">
        <v>80</v>
      </c>
      <c r="N78" s="7">
        <v>78</v>
      </c>
      <c r="O78" s="11">
        <f t="shared" si="4"/>
        <v>82</v>
      </c>
      <c r="R78" s="14">
        <f t="shared" si="5"/>
        <v>16.7</v>
      </c>
      <c r="S78" s="14">
        <f t="shared" si="6"/>
        <v>49.900000000000006</v>
      </c>
      <c r="T78" s="14">
        <f t="shared" si="7"/>
        <v>15.600000000000001</v>
      </c>
    </row>
    <row r="79" spans="1:20" ht="15.6" x14ac:dyDescent="0.45">
      <c r="A79" s="1">
        <v>77</v>
      </c>
      <c r="B79" s="10"/>
      <c r="C79" s="10"/>
      <c r="D79" s="10" t="s">
        <v>41</v>
      </c>
      <c r="E79" s="10" t="s">
        <v>77</v>
      </c>
      <c r="F79" s="7"/>
      <c r="G79" s="7"/>
      <c r="H79" s="7"/>
      <c r="I79" s="7"/>
      <c r="J79" s="7">
        <v>85</v>
      </c>
      <c r="K79" s="7">
        <v>80</v>
      </c>
      <c r="L79" s="7">
        <v>80</v>
      </c>
      <c r="M79" s="7">
        <v>85</v>
      </c>
      <c r="N79" s="7">
        <v>82</v>
      </c>
      <c r="O79" s="11">
        <f t="shared" si="4"/>
        <v>82</v>
      </c>
      <c r="R79" s="14">
        <f t="shared" si="5"/>
        <v>16.25</v>
      </c>
      <c r="S79" s="14">
        <f t="shared" si="6"/>
        <v>48.75</v>
      </c>
      <c r="T79" s="14">
        <f t="shared" si="7"/>
        <v>16.400000000000002</v>
      </c>
    </row>
    <row r="80" spans="1:20" ht="15.6" x14ac:dyDescent="0.45">
      <c r="A80" s="1">
        <v>78</v>
      </c>
      <c r="B80" s="10"/>
      <c r="C80" s="10"/>
      <c r="D80" s="10" t="s">
        <v>41</v>
      </c>
      <c r="E80" s="10" t="s">
        <v>77</v>
      </c>
      <c r="F80" s="7"/>
      <c r="G80" s="7"/>
      <c r="H80" s="7"/>
      <c r="I80" s="7"/>
      <c r="J80" s="7">
        <v>80</v>
      </c>
      <c r="K80" s="7">
        <v>82</v>
      </c>
      <c r="L80" s="7">
        <v>84</v>
      </c>
      <c r="M80" s="7">
        <v>80</v>
      </c>
      <c r="N80" s="7">
        <v>79</v>
      </c>
      <c r="O80" s="11">
        <f t="shared" si="4"/>
        <v>82</v>
      </c>
      <c r="R80" s="14">
        <f t="shared" si="5"/>
        <v>16.400000000000002</v>
      </c>
      <c r="S80" s="14">
        <f t="shared" si="6"/>
        <v>49.6</v>
      </c>
      <c r="T80" s="14">
        <f t="shared" si="7"/>
        <v>15.8</v>
      </c>
    </row>
    <row r="83" spans="18:21" x14ac:dyDescent="0.45">
      <c r="R83">
        <f>AVERAGE(R3:R80)</f>
        <v>16.455769230769238</v>
      </c>
      <c r="S83">
        <f t="shared" ref="S83:T83" si="8">AVERAGE(S3:S80)</f>
        <v>49.057051282051262</v>
      </c>
      <c r="T83">
        <f t="shared" si="8"/>
        <v>15.407692307692304</v>
      </c>
    </row>
    <row r="87" spans="18:21" x14ac:dyDescent="0.45">
      <c r="R87" s="13" t="s">
        <v>113</v>
      </c>
      <c r="S87" s="13" t="s">
        <v>114</v>
      </c>
      <c r="T87" s="13" t="s">
        <v>115</v>
      </c>
      <c r="U87" s="13" t="s">
        <v>116</v>
      </c>
    </row>
    <row r="88" spans="18:21" x14ac:dyDescent="0.45">
      <c r="R88" s="15">
        <v>20</v>
      </c>
      <c r="S88" s="15">
        <v>1</v>
      </c>
      <c r="T88" s="15">
        <v>16.46</v>
      </c>
      <c r="U88" s="15">
        <f>S88*T88/R88</f>
        <v>0.82300000000000006</v>
      </c>
    </row>
    <row r="89" spans="18:21" x14ac:dyDescent="0.45">
      <c r="R89" s="15">
        <v>60</v>
      </c>
      <c r="S89" s="15">
        <v>1</v>
      </c>
      <c r="T89" s="15">
        <v>49.06</v>
      </c>
      <c r="U89" s="15">
        <f t="shared" ref="U89:U90" si="9">S89*T89/R89</f>
        <v>0.81766666666666665</v>
      </c>
    </row>
    <row r="90" spans="18:21" x14ac:dyDescent="0.45">
      <c r="R90" s="15">
        <v>20</v>
      </c>
      <c r="S90" s="15">
        <v>1</v>
      </c>
      <c r="T90" s="15">
        <v>15.41</v>
      </c>
      <c r="U90" s="15">
        <f t="shared" si="9"/>
        <v>0.77049999999999996</v>
      </c>
    </row>
    <row r="92" spans="18:21" x14ac:dyDescent="0.45">
      <c r="U92">
        <f>AVERAGE(U88:U90)</f>
        <v>0.80372222222222212</v>
      </c>
    </row>
  </sheetData>
  <autoFilter ref="A2:U80" xr:uid="{FF574B2D-2DBA-45BF-AF79-9F6A903E8A61}">
    <filterColumn colId="14">
      <customFilters and="1">
        <customFilter operator="lessThan" val="90"/>
        <customFilter operator="greaterThanOrEqual" val="80"/>
      </customFilters>
    </filterColumn>
  </autoFilter>
  <mergeCells count="2">
    <mergeCell ref="A1:C1"/>
    <mergeCell ref="E1:F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Sheet2</vt:lpstr>
    </vt:vector>
  </TitlesOfParts>
  <Company>GZ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NETWORK SERVICE</dc:creator>
  <cp:lastModifiedBy>jianxi zhou</cp:lastModifiedBy>
  <cp:lastPrinted>2023-05-29T02:11:13Z</cp:lastPrinted>
  <dcterms:created xsi:type="dcterms:W3CDTF">2015-12-17T13:31:47Z</dcterms:created>
  <dcterms:modified xsi:type="dcterms:W3CDTF">2024-06-26T14:44:17Z</dcterms:modified>
</cp:coreProperties>
</file>